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omments6.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omments7.xml" ContentType="application/vnd.openxmlformats-officedocument.spreadsheetml.comments+xml"/>
  <Override PartName="/xl/drawings/drawing7.xml" ContentType="application/vnd.openxmlformats-officedocument.drawing+xml"/>
  <Override PartName="/xl/ctrlProps/ctrlProp6.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trlProps/ctrlProp8.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9.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0.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1.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2.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13.xml" ContentType="application/vnd.ms-excel.controlproperties+xml"/>
  <Override PartName="/xl/comments15.xml" ContentType="application/vnd.openxmlformats-officedocument.spreadsheetml.comments+xml"/>
  <Override PartName="/xl/drawings/drawing15.xml" ContentType="application/vnd.openxmlformats-officedocument.drawing+xml"/>
  <Override PartName="/xl/ctrlProps/ctrlProp14.xml" ContentType="application/vnd.ms-excel.controlproperties+xml"/>
  <Override PartName="/xl/comments16.xml" ContentType="application/vnd.openxmlformats-officedocument.spreadsheetml.comments+xml"/>
  <Override PartName="/xl/drawings/drawing16.xml" ContentType="application/vnd.openxmlformats-officedocument.drawing+xml"/>
  <Override PartName="/xl/ctrlProps/ctrlProp15.xml" ContentType="application/vnd.ms-excel.controlproperties+xml"/>
  <Override PartName="/xl/comments17.xml" ContentType="application/vnd.openxmlformats-officedocument.spreadsheetml.comments+xml"/>
  <Override PartName="/xl/drawings/drawing17.xml" ContentType="application/vnd.openxmlformats-officedocument.drawing+xml"/>
  <Override PartName="/xl/ctrlProps/ctrlProp16.xml" ContentType="application/vnd.ms-excel.controlproperties+xml"/>
  <Override PartName="/xl/comments18.xml" ContentType="application/vnd.openxmlformats-officedocument.spreadsheetml.comments+xml"/>
  <Override PartName="/xl/drawings/drawing18.xml" ContentType="application/vnd.openxmlformats-officedocument.drawing+xml"/>
  <Override PartName="/xl/ctrlProps/ctrlProp17.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Onebox\Dublin\Innovation\BT Catalyst\2019 5G Slicing Catalyst\Huawei Internal\5G Service Design Blueprint\github\gsma-gst\"/>
    </mc:Choice>
  </mc:AlternateContent>
  <bookViews>
    <workbookView xWindow="0" yWindow="0" windowWidth="28800" windowHeight="12435" tabRatio="795" firstSheet="10" activeTab="22"/>
  </bookViews>
  <sheets>
    <sheet name="Intro &amp; Explainer" sheetId="18" r:id="rId1"/>
    <sheet name="Profiles" sheetId="11" r:id="rId2"/>
    <sheet name="ServiceCat to Device Mapping" sheetId="5" state="hidden" r:id="rId3"/>
    <sheet name="Device Types" sheetId="6" state="hidden" r:id="rId4"/>
    <sheet name="Country Frequency Mappings(lic)" sheetId="17" r:id="rId5"/>
    <sheet name="IMEI TAC Database" sheetId="13" r:id="rId6"/>
    <sheet name="Slice template blueprint" sheetId="8" r:id="rId7"/>
    <sheet name="UltraLowCostConnectivity" sheetId="23" r:id="rId8"/>
    <sheet name="50MbpsSuburban" sheetId="35" r:id="rId9"/>
    <sheet name="50MbpsRural" sheetId="29" r:id="rId10"/>
    <sheet name="SmartWearables" sheetId="19" r:id="rId11"/>
    <sheet name="MobileVideoSurveillance" sheetId="20" r:id="rId12"/>
    <sheet name="AircraftConnectivity" sheetId="21" r:id="rId13"/>
    <sheet name="MovingHotSpots" sheetId="22" r:id="rId14"/>
    <sheet name="HighSpeedTrainConnectivity" sheetId="24" r:id="rId15"/>
    <sheet name="CollaborativeRobots" sheetId="25" r:id="rId16"/>
    <sheet name="PublicSafety" sheetId="26" r:id="rId17"/>
    <sheet name="SmartOffice" sheetId="27" r:id="rId18"/>
    <sheet name="SensorNetworks" sheetId="28" r:id="rId19"/>
    <sheet name="DenseUrbanSociety" sheetId="30" r:id="rId20"/>
    <sheet name="eHealthLifeCritical" sheetId="31" r:id="rId21"/>
    <sheet name="TactileInternet" sheetId="32" r:id="rId22"/>
    <sheet name="AutoTrafficControlDriving" sheetId="33" r:id="rId23"/>
    <sheet name="Pick lists" sheetId="14" state="hidden" r:id="rId24"/>
  </sheets>
  <definedNames>
    <definedName name="_Toc4497292" localSheetId="9">'50MbpsRural'!$C$18</definedName>
    <definedName name="_Toc4497292" localSheetId="8">'50MbpsSuburban'!$C$18</definedName>
    <definedName name="_Toc4497292" localSheetId="12">AircraftConnectivity!$C$18</definedName>
    <definedName name="_Toc4497292" localSheetId="22">AutoTrafficControlDriving!$C$18</definedName>
    <definedName name="_Toc4497292" localSheetId="15">CollaborativeRobots!$C$18</definedName>
    <definedName name="_Toc4497292" localSheetId="19">DenseUrbanSociety!$C$18</definedName>
    <definedName name="_Toc4497292" localSheetId="20">eHealthLifeCritical!$C$18</definedName>
    <definedName name="_Toc4497292" localSheetId="14">HighSpeedTrainConnectivity!$C$18</definedName>
    <definedName name="_Toc4497292" localSheetId="11">MobileVideoSurveillance!$C$18</definedName>
    <definedName name="_Toc4497292" localSheetId="13">MovingHotSpots!$C$18</definedName>
    <definedName name="_Toc4497292" localSheetId="16">PublicSafety!$C$18</definedName>
    <definedName name="_Toc4497292" localSheetId="18">SensorNetworks!$C$18</definedName>
    <definedName name="_Toc4497292" localSheetId="6">'Slice template blueprint'!$C$18</definedName>
    <definedName name="_Toc4497292" localSheetId="17">SmartOffice!$C$18</definedName>
    <definedName name="_Toc4497292" localSheetId="10">SmartWearables!$C$18</definedName>
    <definedName name="_Toc4497292" localSheetId="21">TactileInternet!$C$18</definedName>
    <definedName name="_Toc4497292" localSheetId="7">UltraLowCostConnectivity!$C$18</definedName>
    <definedName name="_Toc4497322" localSheetId="9">'50MbpsRural'!$C$29</definedName>
    <definedName name="_Toc4497322" localSheetId="8">'50MbpsSuburban'!$C$29</definedName>
    <definedName name="_Toc4497322" localSheetId="12">AircraftConnectivity!$C$29</definedName>
    <definedName name="_Toc4497322" localSheetId="22">AutoTrafficControlDriving!$C$29</definedName>
    <definedName name="_Toc4497322" localSheetId="15">CollaborativeRobots!$C$29</definedName>
    <definedName name="_Toc4497322" localSheetId="19">DenseUrbanSociety!$C$29</definedName>
    <definedName name="_Toc4497322" localSheetId="20">eHealthLifeCritical!$C$29</definedName>
    <definedName name="_Toc4497322" localSheetId="14">HighSpeedTrainConnectivity!$C$29</definedName>
    <definedName name="_Toc4497322" localSheetId="11">MobileVideoSurveillance!$C$29</definedName>
    <definedName name="_Toc4497322" localSheetId="13">MovingHotSpots!$C$29</definedName>
    <definedName name="_Toc4497322" localSheetId="16">PublicSafety!$C$29</definedName>
    <definedName name="_Toc4497322" localSheetId="18">SensorNetworks!$C$29</definedName>
    <definedName name="_Toc4497322" localSheetId="6">'Slice template blueprint'!$C$29</definedName>
    <definedName name="_Toc4497322" localSheetId="17">SmartOffice!$C$29</definedName>
    <definedName name="_Toc4497322" localSheetId="10">SmartWearables!$C$29</definedName>
    <definedName name="_Toc4497322" localSheetId="21">TactileInternet!$C$29</definedName>
    <definedName name="_Toc4497322" localSheetId="7">UltraLowCostConnectivity!$C$29</definedName>
    <definedName name="ConnectivityPurpose">'Pick lists'!$A$2:$A$29</definedName>
    <definedName name="Device_Activity_Level" localSheetId="9">#REF!</definedName>
    <definedName name="Device_Activity_Level" localSheetId="8">#REF!</definedName>
    <definedName name="Device_Activity_Level" localSheetId="12">#REF!</definedName>
    <definedName name="Device_Activity_Level" localSheetId="22">#REF!</definedName>
    <definedName name="Device_Activity_Level" localSheetId="15">#REF!</definedName>
    <definedName name="Device_Activity_Level" localSheetId="19">#REF!</definedName>
    <definedName name="Device_Activity_Level" localSheetId="20">#REF!</definedName>
    <definedName name="Device_Activity_Level" localSheetId="14">#REF!</definedName>
    <definedName name="Device_Activity_Level" localSheetId="11">#REF!</definedName>
    <definedName name="Device_Activity_Level" localSheetId="13">#REF!</definedName>
    <definedName name="Device_Activity_Level" localSheetId="16">#REF!</definedName>
    <definedName name="Device_Activity_Level" localSheetId="18">#REF!</definedName>
    <definedName name="Device_Activity_Level" localSheetId="17">#REF!</definedName>
    <definedName name="Device_Activity_Level" localSheetId="10">#REF!</definedName>
    <definedName name="Device_Activity_Level" localSheetId="21">#REF!</definedName>
    <definedName name="Device_Activity_Level" localSheetId="7">#REF!</definedName>
    <definedName name="Device_Activity_Level">#REF!</definedName>
    <definedName name="Surge_factor_per_sq_KM" localSheetId="9">#REF!</definedName>
    <definedName name="Surge_factor_per_sq_KM" localSheetId="8">#REF!</definedName>
    <definedName name="Surge_factor_per_sq_KM" localSheetId="12">#REF!</definedName>
    <definedName name="Surge_factor_per_sq_KM" localSheetId="22">#REF!</definedName>
    <definedName name="Surge_factor_per_sq_KM" localSheetId="15">#REF!</definedName>
    <definedName name="Surge_factor_per_sq_KM" localSheetId="19">#REF!</definedName>
    <definedName name="Surge_factor_per_sq_KM" localSheetId="20">#REF!</definedName>
    <definedName name="Surge_factor_per_sq_KM" localSheetId="14">#REF!</definedName>
    <definedName name="Surge_factor_per_sq_KM" localSheetId="11">#REF!</definedName>
    <definedName name="Surge_factor_per_sq_KM" localSheetId="13">#REF!</definedName>
    <definedName name="Surge_factor_per_sq_KM" localSheetId="16">#REF!</definedName>
    <definedName name="Surge_factor_per_sq_KM" localSheetId="18">#REF!</definedName>
    <definedName name="Surge_factor_per_sq_KM" localSheetId="17">#REF!</definedName>
    <definedName name="Surge_factor_per_sq_KM" localSheetId="10">#REF!</definedName>
    <definedName name="Surge_factor_per_sq_KM" localSheetId="21">#REF!</definedName>
    <definedName name="Surge_factor_per_sq_KM" localSheetId="7">#REF!</definedName>
    <definedName name="Surge_factor_per_sq_KM">#REF!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29" l="1"/>
  <c r="E37" i="29" s="1"/>
  <c r="H52" i="35"/>
  <c r="H51" i="35"/>
  <c r="E50" i="35"/>
  <c r="H50" i="35" s="1"/>
  <c r="E46" i="35"/>
  <c r="H46" i="35" s="1"/>
  <c r="E42" i="35"/>
  <c r="H42" i="35" s="1"/>
  <c r="E38" i="35"/>
  <c r="H38" i="35" s="1"/>
  <c r="E33" i="35"/>
  <c r="H33" i="35" s="1"/>
  <c r="H31" i="35"/>
  <c r="H28" i="35"/>
  <c r="E27" i="35"/>
  <c r="H27" i="35" s="1"/>
  <c r="E24" i="35"/>
  <c r="H23" i="35"/>
  <c r="E18" i="35"/>
  <c r="H18" i="35" s="1"/>
  <c r="H16" i="35"/>
  <c r="H15" i="35"/>
  <c r="E14" i="35"/>
  <c r="H12" i="35"/>
  <c r="E12" i="35"/>
  <c r="H11" i="35"/>
  <c r="H10" i="35"/>
  <c r="H9" i="35"/>
  <c r="H8" i="35"/>
  <c r="H7" i="35"/>
  <c r="H6" i="35"/>
  <c r="E4" i="35"/>
  <c r="E37" i="35" s="1"/>
  <c r="H3" i="35"/>
  <c r="H2" i="35"/>
  <c r="H52" i="33"/>
  <c r="H51" i="33"/>
  <c r="H31" i="33"/>
  <c r="H28" i="33"/>
  <c r="E24" i="33"/>
  <c r="H23" i="33"/>
  <c r="H16" i="33"/>
  <c r="H15" i="33"/>
  <c r="E14" i="33"/>
  <c r="H12" i="33"/>
  <c r="E12" i="33"/>
  <c r="H11" i="33"/>
  <c r="H10" i="33"/>
  <c r="H9" i="33"/>
  <c r="H8" i="33"/>
  <c r="H7" i="33"/>
  <c r="H6" i="33"/>
  <c r="E4" i="33"/>
  <c r="E37" i="33" s="1"/>
  <c r="H3" i="33"/>
  <c r="H2" i="33"/>
  <c r="H52" i="32"/>
  <c r="H51" i="32"/>
  <c r="H31" i="32"/>
  <c r="H28" i="32"/>
  <c r="E24" i="32"/>
  <c r="H23" i="32"/>
  <c r="H16" i="32"/>
  <c r="H15" i="32"/>
  <c r="E14" i="32"/>
  <c r="E12" i="32"/>
  <c r="H12" i="32" s="1"/>
  <c r="H11" i="32"/>
  <c r="H10" i="32"/>
  <c r="H9" i="32"/>
  <c r="H8" i="32"/>
  <c r="H7" i="32"/>
  <c r="H6" i="32"/>
  <c r="E4" i="32"/>
  <c r="E54" i="32" s="1"/>
  <c r="H54" i="32" s="1"/>
  <c r="H3" i="32"/>
  <c r="H2" i="32"/>
  <c r="H52" i="31"/>
  <c r="H51" i="31"/>
  <c r="H31" i="31"/>
  <c r="H28" i="31"/>
  <c r="E24" i="31"/>
  <c r="H23" i="31"/>
  <c r="H16" i="31"/>
  <c r="H15" i="31"/>
  <c r="E14" i="31"/>
  <c r="H12" i="31"/>
  <c r="E12" i="31"/>
  <c r="H11" i="31"/>
  <c r="H10" i="31"/>
  <c r="H9" i="31"/>
  <c r="H8" i="31"/>
  <c r="H7" i="31"/>
  <c r="H6" i="31"/>
  <c r="E4" i="31"/>
  <c r="E37" i="31" s="1"/>
  <c r="H3" i="31"/>
  <c r="H2" i="31"/>
  <c r="H52" i="30"/>
  <c r="H51" i="30"/>
  <c r="H31" i="30"/>
  <c r="H28" i="30"/>
  <c r="E24" i="30"/>
  <c r="H23" i="30"/>
  <c r="H16" i="30"/>
  <c r="H15" i="30"/>
  <c r="E14" i="30"/>
  <c r="H12" i="30"/>
  <c r="E12" i="30"/>
  <c r="H11" i="30"/>
  <c r="H10" i="30"/>
  <c r="H9" i="30"/>
  <c r="H8" i="30"/>
  <c r="H7" i="30"/>
  <c r="H6" i="30"/>
  <c r="E4" i="30"/>
  <c r="E37" i="30" s="1"/>
  <c r="H3" i="30"/>
  <c r="H2" i="30"/>
  <c r="H52" i="29"/>
  <c r="H51" i="29"/>
  <c r="H31" i="29"/>
  <c r="H28" i="29"/>
  <c r="E24" i="29"/>
  <c r="H23" i="29"/>
  <c r="H16" i="29"/>
  <c r="H15" i="29"/>
  <c r="E14" i="29"/>
  <c r="H12" i="29"/>
  <c r="E12" i="29"/>
  <c r="H11" i="29"/>
  <c r="H10" i="29"/>
  <c r="H9" i="29"/>
  <c r="H8" i="29"/>
  <c r="H7" i="29"/>
  <c r="H6" i="29"/>
  <c r="H3" i="29"/>
  <c r="H2" i="29"/>
  <c r="H52" i="28"/>
  <c r="H51" i="28"/>
  <c r="H31" i="28"/>
  <c r="H28" i="28"/>
  <c r="E24" i="28"/>
  <c r="H23" i="28"/>
  <c r="H16" i="28"/>
  <c r="H15" i="28"/>
  <c r="E14" i="28"/>
  <c r="H12" i="28"/>
  <c r="E12" i="28"/>
  <c r="H11" i="28"/>
  <c r="H10" i="28"/>
  <c r="H9" i="28"/>
  <c r="H8" i="28"/>
  <c r="H7" i="28"/>
  <c r="H6" i="28"/>
  <c r="E4" i="28"/>
  <c r="E37" i="28" s="1"/>
  <c r="H3" i="28"/>
  <c r="H2" i="28"/>
  <c r="H52" i="27"/>
  <c r="H51" i="27"/>
  <c r="H31" i="27"/>
  <c r="H28" i="27"/>
  <c r="E24" i="27"/>
  <c r="H23" i="27"/>
  <c r="H16" i="27"/>
  <c r="H15" i="27"/>
  <c r="E14" i="27"/>
  <c r="H12" i="27"/>
  <c r="E12" i="27"/>
  <c r="H11" i="27"/>
  <c r="H10" i="27"/>
  <c r="H9" i="27"/>
  <c r="H8" i="27"/>
  <c r="H7" i="27"/>
  <c r="H6" i="27"/>
  <c r="E4" i="27"/>
  <c r="E37" i="27" s="1"/>
  <c r="H3" i="27"/>
  <c r="H2" i="27"/>
  <c r="H52" i="26"/>
  <c r="H51" i="26"/>
  <c r="H31" i="26"/>
  <c r="H28" i="26"/>
  <c r="E24" i="26"/>
  <c r="H23" i="26"/>
  <c r="H16" i="26"/>
  <c r="H15" i="26"/>
  <c r="E14" i="26"/>
  <c r="H12" i="26"/>
  <c r="E12" i="26"/>
  <c r="H11" i="26"/>
  <c r="H10" i="26"/>
  <c r="H9" i="26"/>
  <c r="H8" i="26"/>
  <c r="H7" i="26"/>
  <c r="H6" i="26"/>
  <c r="E4" i="26"/>
  <c r="E37" i="26" s="1"/>
  <c r="H3" i="26"/>
  <c r="H2" i="26"/>
  <c r="H52" i="25"/>
  <c r="H51" i="25"/>
  <c r="H31" i="25"/>
  <c r="H28" i="25"/>
  <c r="E24" i="25"/>
  <c r="H23" i="25"/>
  <c r="H16" i="25"/>
  <c r="H15" i="25"/>
  <c r="E14" i="25"/>
  <c r="H12" i="25"/>
  <c r="E12" i="25"/>
  <c r="H11" i="25"/>
  <c r="H10" i="25"/>
  <c r="H9" i="25"/>
  <c r="H8" i="25"/>
  <c r="H7" i="25"/>
  <c r="H6" i="25"/>
  <c r="E4" i="25"/>
  <c r="E37" i="25" s="1"/>
  <c r="H3" i="25"/>
  <c r="H2" i="25"/>
  <c r="H52" i="24"/>
  <c r="H51" i="24"/>
  <c r="H31" i="24"/>
  <c r="H28" i="24"/>
  <c r="E24" i="24"/>
  <c r="H23" i="24"/>
  <c r="H16" i="24"/>
  <c r="H15" i="24"/>
  <c r="E14" i="24"/>
  <c r="H12" i="24"/>
  <c r="E12" i="24"/>
  <c r="H11" i="24"/>
  <c r="H10" i="24"/>
  <c r="H9" i="24"/>
  <c r="H8" i="24"/>
  <c r="H7" i="24"/>
  <c r="H6" i="24"/>
  <c r="E4" i="24"/>
  <c r="E37" i="24" s="1"/>
  <c r="H3" i="24"/>
  <c r="H2" i="24"/>
  <c r="H52" i="23"/>
  <c r="H51" i="23"/>
  <c r="H31" i="23"/>
  <c r="H28" i="23"/>
  <c r="E24" i="23"/>
  <c r="H23" i="23"/>
  <c r="H16" i="23"/>
  <c r="H15" i="23"/>
  <c r="E14" i="23"/>
  <c r="H12" i="23"/>
  <c r="E12" i="23"/>
  <c r="H11" i="23"/>
  <c r="H10" i="23"/>
  <c r="H9" i="23"/>
  <c r="H8" i="23"/>
  <c r="H7" i="23"/>
  <c r="H6" i="23"/>
  <c r="E4" i="23"/>
  <c r="E37" i="23" s="1"/>
  <c r="H3" i="23"/>
  <c r="H2" i="23"/>
  <c r="H52" i="22"/>
  <c r="H51" i="22"/>
  <c r="H31" i="22"/>
  <c r="H28" i="22"/>
  <c r="E24" i="22"/>
  <c r="H23" i="22"/>
  <c r="H16" i="22"/>
  <c r="H15" i="22"/>
  <c r="E14" i="22"/>
  <c r="H12" i="22"/>
  <c r="E12" i="22"/>
  <c r="H11" i="22"/>
  <c r="H10" i="22"/>
  <c r="H9" i="22"/>
  <c r="H8" i="22"/>
  <c r="H7" i="22"/>
  <c r="H6" i="22"/>
  <c r="E4" i="22"/>
  <c r="E37" i="22" s="1"/>
  <c r="H3" i="22"/>
  <c r="H2" i="22"/>
  <c r="H52" i="21"/>
  <c r="H51" i="21"/>
  <c r="H31" i="21"/>
  <c r="H28" i="21"/>
  <c r="E24" i="21"/>
  <c r="H23" i="21"/>
  <c r="H16" i="21"/>
  <c r="H15" i="21"/>
  <c r="E14" i="21"/>
  <c r="H12" i="21"/>
  <c r="E12" i="21"/>
  <c r="H11" i="21"/>
  <c r="H10" i="21"/>
  <c r="H9" i="21"/>
  <c r="H8" i="21"/>
  <c r="H7" i="21"/>
  <c r="H6" i="21"/>
  <c r="E4" i="21"/>
  <c r="E37" i="21" s="1"/>
  <c r="H3" i="21"/>
  <c r="H2" i="21"/>
  <c r="E19" i="35" l="1"/>
  <c r="H19" i="35" s="1"/>
  <c r="E34" i="35"/>
  <c r="H34" i="35" s="1"/>
  <c r="E39" i="35"/>
  <c r="H39" i="35" s="1"/>
  <c r="E43" i="35"/>
  <c r="H43" i="35" s="1"/>
  <c r="E47" i="35"/>
  <c r="H47" i="35" s="1"/>
  <c r="E29" i="35"/>
  <c r="H29" i="35" s="1"/>
  <c r="E20" i="35"/>
  <c r="H20" i="35" s="1"/>
  <c r="E25" i="35"/>
  <c r="H25" i="35" s="1"/>
  <c r="E35" i="35"/>
  <c r="H35" i="35" s="1"/>
  <c r="E40" i="35"/>
  <c r="H40" i="35" s="1"/>
  <c r="E44" i="35"/>
  <c r="H44" i="35" s="1"/>
  <c r="E48" i="35"/>
  <c r="H48" i="35" s="1"/>
  <c r="E53" i="35"/>
  <c r="H53" i="35" s="1"/>
  <c r="E30" i="35"/>
  <c r="H30" i="35" s="1"/>
  <c r="H4" i="35"/>
  <c r="E17" i="35"/>
  <c r="E26" i="35"/>
  <c r="H26" i="35" s="1"/>
  <c r="E36" i="35"/>
  <c r="E41" i="35"/>
  <c r="H41" i="35" s="1"/>
  <c r="E45" i="35"/>
  <c r="H45" i="35" s="1"/>
  <c r="E49" i="35"/>
  <c r="H49" i="35" s="1"/>
  <c r="E54" i="35"/>
  <c r="H54" i="35" s="1"/>
  <c r="E5" i="35"/>
  <c r="H5" i="35" s="1"/>
  <c r="E27" i="33"/>
  <c r="H27" i="33" s="1"/>
  <c r="E33" i="33"/>
  <c r="H33" i="33" s="1"/>
  <c r="E38" i="33"/>
  <c r="H38" i="33" s="1"/>
  <c r="E18" i="33"/>
  <c r="H18" i="33" s="1"/>
  <c r="E42" i="33"/>
  <c r="H42" i="33" s="1"/>
  <c r="E46" i="33"/>
  <c r="H46" i="33" s="1"/>
  <c r="E50" i="33"/>
  <c r="H50" i="33" s="1"/>
  <c r="E19" i="33"/>
  <c r="H19" i="33" s="1"/>
  <c r="E34" i="33"/>
  <c r="H34" i="33" s="1"/>
  <c r="E39" i="33"/>
  <c r="H39" i="33" s="1"/>
  <c r="E43" i="33"/>
  <c r="H43" i="33" s="1"/>
  <c r="E47" i="33"/>
  <c r="H47" i="33" s="1"/>
  <c r="E29" i="33"/>
  <c r="H29" i="33" s="1"/>
  <c r="E20" i="33"/>
  <c r="H20" i="33" s="1"/>
  <c r="E25" i="33"/>
  <c r="H25" i="33" s="1"/>
  <c r="E35" i="33"/>
  <c r="H35" i="33" s="1"/>
  <c r="E40" i="33"/>
  <c r="H40" i="33" s="1"/>
  <c r="E44" i="33"/>
  <c r="H44" i="33" s="1"/>
  <c r="E48" i="33"/>
  <c r="H48" i="33" s="1"/>
  <c r="E53" i="33"/>
  <c r="H53" i="33" s="1"/>
  <c r="E30" i="33"/>
  <c r="H30" i="33" s="1"/>
  <c r="H4" i="33"/>
  <c r="E17" i="33"/>
  <c r="E26" i="33"/>
  <c r="H26" i="33" s="1"/>
  <c r="E36" i="33"/>
  <c r="E41" i="33"/>
  <c r="H41" i="33" s="1"/>
  <c r="E45" i="33"/>
  <c r="H45" i="33" s="1"/>
  <c r="E49" i="33"/>
  <c r="H49" i="33" s="1"/>
  <c r="E54" i="33"/>
  <c r="H54" i="33" s="1"/>
  <c r="E5" i="33"/>
  <c r="H5" i="33" s="1"/>
  <c r="E5" i="32"/>
  <c r="H5" i="32" s="1"/>
  <c r="E37" i="32"/>
  <c r="E38" i="32"/>
  <c r="H38" i="32" s="1"/>
  <c r="E27" i="32"/>
  <c r="H27" i="32" s="1"/>
  <c r="E18" i="32"/>
  <c r="H18" i="32" s="1"/>
  <c r="E50" i="32"/>
  <c r="H50" i="32" s="1"/>
  <c r="E33" i="32"/>
  <c r="H33" i="32" s="1"/>
  <c r="E42" i="32"/>
  <c r="H42" i="32" s="1"/>
  <c r="E46" i="32"/>
  <c r="H46" i="32" s="1"/>
  <c r="E19" i="32"/>
  <c r="H19" i="32" s="1"/>
  <c r="E34" i="32"/>
  <c r="H34" i="32" s="1"/>
  <c r="E39" i="32"/>
  <c r="H39" i="32" s="1"/>
  <c r="E43" i="32"/>
  <c r="H43" i="32" s="1"/>
  <c r="E47" i="32"/>
  <c r="H47" i="32" s="1"/>
  <c r="E20" i="32"/>
  <c r="H20" i="32" s="1"/>
  <c r="E25" i="32"/>
  <c r="H25" i="32" s="1"/>
  <c r="E35" i="32"/>
  <c r="H35" i="32" s="1"/>
  <c r="E40" i="32"/>
  <c r="H40" i="32" s="1"/>
  <c r="E44" i="32"/>
  <c r="H44" i="32" s="1"/>
  <c r="E48" i="32"/>
  <c r="H48" i="32" s="1"/>
  <c r="E53" i="32"/>
  <c r="H53" i="32" s="1"/>
  <c r="E30" i="32"/>
  <c r="H30" i="32" s="1"/>
  <c r="E29" i="32"/>
  <c r="H29" i="32" s="1"/>
  <c r="H4" i="32"/>
  <c r="E17" i="32"/>
  <c r="E26" i="32"/>
  <c r="H26" i="32" s="1"/>
  <c r="E36" i="32"/>
  <c r="E41" i="32"/>
  <c r="H41" i="32" s="1"/>
  <c r="E45" i="32"/>
  <c r="H45" i="32" s="1"/>
  <c r="E49" i="32"/>
  <c r="H49" i="32" s="1"/>
  <c r="E33" i="31"/>
  <c r="H33" i="31" s="1"/>
  <c r="E18" i="31"/>
  <c r="H18" i="31" s="1"/>
  <c r="E38" i="31"/>
  <c r="H38" i="31" s="1"/>
  <c r="E42" i="31"/>
  <c r="H42" i="31" s="1"/>
  <c r="E46" i="31"/>
  <c r="H46" i="31" s="1"/>
  <c r="E27" i="31"/>
  <c r="H27" i="31" s="1"/>
  <c r="E50" i="31"/>
  <c r="H50" i="31" s="1"/>
  <c r="H4" i="31"/>
  <c r="E29" i="31"/>
  <c r="H29" i="31" s="1"/>
  <c r="E19" i="31"/>
  <c r="H19" i="31" s="1"/>
  <c r="E34" i="31"/>
  <c r="H34" i="31" s="1"/>
  <c r="E39" i="31"/>
  <c r="H39" i="31" s="1"/>
  <c r="E43" i="31"/>
  <c r="H43" i="31" s="1"/>
  <c r="E47" i="31"/>
  <c r="H47" i="31" s="1"/>
  <c r="E20" i="31"/>
  <c r="H20" i="31" s="1"/>
  <c r="E25" i="31"/>
  <c r="H25" i="31" s="1"/>
  <c r="E35" i="31"/>
  <c r="H35" i="31" s="1"/>
  <c r="E40" i="31"/>
  <c r="H40" i="31" s="1"/>
  <c r="E44" i="31"/>
  <c r="H44" i="31" s="1"/>
  <c r="E48" i="31"/>
  <c r="H48" i="31" s="1"/>
  <c r="E53" i="31"/>
  <c r="H53" i="31" s="1"/>
  <c r="E30" i="31"/>
  <c r="H30" i="31" s="1"/>
  <c r="E17" i="31"/>
  <c r="E26" i="31"/>
  <c r="H26" i="31" s="1"/>
  <c r="E36" i="31"/>
  <c r="E41" i="31"/>
  <c r="H41" i="31" s="1"/>
  <c r="E45" i="31"/>
  <c r="H45" i="31" s="1"/>
  <c r="E49" i="31"/>
  <c r="H49" i="31" s="1"/>
  <c r="E54" i="31"/>
  <c r="H54" i="31" s="1"/>
  <c r="E5" i="31"/>
  <c r="H5" i="31" s="1"/>
  <c r="E38" i="30"/>
  <c r="H38" i="30" s="1"/>
  <c r="E35" i="30"/>
  <c r="H35" i="30" s="1"/>
  <c r="E42" i="30"/>
  <c r="H42" i="30" s="1"/>
  <c r="E44" i="30"/>
  <c r="H44" i="30" s="1"/>
  <c r="E27" i="30"/>
  <c r="H27" i="30" s="1"/>
  <c r="E29" i="30"/>
  <c r="H29" i="30" s="1"/>
  <c r="E46" i="30"/>
  <c r="H46" i="30" s="1"/>
  <c r="E18" i="30"/>
  <c r="H18" i="30" s="1"/>
  <c r="E48" i="30"/>
  <c r="H48" i="30" s="1"/>
  <c r="E20" i="30"/>
  <c r="H20" i="30" s="1"/>
  <c r="E33" i="30"/>
  <c r="H33" i="30" s="1"/>
  <c r="E50" i="30"/>
  <c r="H50" i="30" s="1"/>
  <c r="E25" i="30"/>
  <c r="H25" i="30" s="1"/>
  <c r="E40" i="30"/>
  <c r="H40" i="30" s="1"/>
  <c r="E53" i="30"/>
  <c r="H53" i="30" s="1"/>
  <c r="E19" i="30"/>
  <c r="H19" i="30" s="1"/>
  <c r="E34" i="30"/>
  <c r="H34" i="30" s="1"/>
  <c r="E39" i="30"/>
  <c r="H39" i="30" s="1"/>
  <c r="E43" i="30"/>
  <c r="H43" i="30" s="1"/>
  <c r="E47" i="30"/>
  <c r="H47" i="30" s="1"/>
  <c r="E30" i="30"/>
  <c r="H30" i="30" s="1"/>
  <c r="H4" i="30"/>
  <c r="E17" i="30"/>
  <c r="E26" i="30"/>
  <c r="H26" i="30" s="1"/>
  <c r="E36" i="30"/>
  <c r="E41" i="30"/>
  <c r="H41" i="30" s="1"/>
  <c r="E45" i="30"/>
  <c r="H45" i="30" s="1"/>
  <c r="E49" i="30"/>
  <c r="H49" i="30" s="1"/>
  <c r="E54" i="30"/>
  <c r="H54" i="30" s="1"/>
  <c r="E5" i="30"/>
  <c r="H5" i="30" s="1"/>
  <c r="E33" i="29"/>
  <c r="H33" i="29" s="1"/>
  <c r="E18" i="29"/>
  <c r="H18" i="29" s="1"/>
  <c r="E38" i="29"/>
  <c r="H38" i="29" s="1"/>
  <c r="E42" i="29"/>
  <c r="H42" i="29" s="1"/>
  <c r="E46" i="29"/>
  <c r="H46" i="29" s="1"/>
  <c r="E27" i="29"/>
  <c r="H27" i="29" s="1"/>
  <c r="E50" i="29"/>
  <c r="H50" i="29" s="1"/>
  <c r="E29" i="29"/>
  <c r="H29" i="29" s="1"/>
  <c r="E19" i="29"/>
  <c r="H19" i="29" s="1"/>
  <c r="E34" i="29"/>
  <c r="H34" i="29" s="1"/>
  <c r="E39" i="29"/>
  <c r="H39" i="29" s="1"/>
  <c r="E43" i="29"/>
  <c r="H43" i="29" s="1"/>
  <c r="E47" i="29"/>
  <c r="H47" i="29" s="1"/>
  <c r="E20" i="29"/>
  <c r="H20" i="29" s="1"/>
  <c r="E25" i="29"/>
  <c r="H25" i="29" s="1"/>
  <c r="E35" i="29"/>
  <c r="H35" i="29" s="1"/>
  <c r="E40" i="29"/>
  <c r="H40" i="29" s="1"/>
  <c r="E44" i="29"/>
  <c r="H44" i="29" s="1"/>
  <c r="E48" i="29"/>
  <c r="H48" i="29" s="1"/>
  <c r="E53" i="29"/>
  <c r="H53" i="29" s="1"/>
  <c r="E30" i="29"/>
  <c r="H30" i="29" s="1"/>
  <c r="H4" i="29"/>
  <c r="E17" i="29"/>
  <c r="E26" i="29"/>
  <c r="H26" i="29" s="1"/>
  <c r="E36" i="29"/>
  <c r="E41" i="29"/>
  <c r="H41" i="29" s="1"/>
  <c r="E45" i="29"/>
  <c r="H45" i="29" s="1"/>
  <c r="E49" i="29"/>
  <c r="H49" i="29" s="1"/>
  <c r="E54" i="29"/>
  <c r="H54" i="29" s="1"/>
  <c r="E5" i="29"/>
  <c r="H5" i="29" s="1"/>
  <c r="E42" i="28"/>
  <c r="H42" i="28" s="1"/>
  <c r="E33" i="28"/>
  <c r="H33" i="28" s="1"/>
  <c r="E18" i="28"/>
  <c r="H18" i="28" s="1"/>
  <c r="E38" i="28"/>
  <c r="H38" i="28" s="1"/>
  <c r="E46" i="28"/>
  <c r="H46" i="28" s="1"/>
  <c r="E27" i="28"/>
  <c r="H27" i="28" s="1"/>
  <c r="E50" i="28"/>
  <c r="H50" i="28" s="1"/>
  <c r="E29" i="28"/>
  <c r="H29" i="28" s="1"/>
  <c r="E19" i="28"/>
  <c r="H19" i="28" s="1"/>
  <c r="E34" i="28"/>
  <c r="H34" i="28" s="1"/>
  <c r="E39" i="28"/>
  <c r="H39" i="28" s="1"/>
  <c r="E43" i="28"/>
  <c r="H43" i="28" s="1"/>
  <c r="E47" i="28"/>
  <c r="H47" i="28" s="1"/>
  <c r="E20" i="28"/>
  <c r="H20" i="28" s="1"/>
  <c r="E25" i="28"/>
  <c r="H25" i="28" s="1"/>
  <c r="E35" i="28"/>
  <c r="H35" i="28" s="1"/>
  <c r="E40" i="28"/>
  <c r="H40" i="28" s="1"/>
  <c r="E44" i="28"/>
  <c r="H44" i="28" s="1"/>
  <c r="E48" i="28"/>
  <c r="H48" i="28" s="1"/>
  <c r="E53" i="28"/>
  <c r="H53" i="28" s="1"/>
  <c r="E30" i="28"/>
  <c r="H30" i="28" s="1"/>
  <c r="H4" i="28"/>
  <c r="E17" i="28"/>
  <c r="E26" i="28"/>
  <c r="H26" i="28" s="1"/>
  <c r="E36" i="28"/>
  <c r="E41" i="28"/>
  <c r="H41" i="28" s="1"/>
  <c r="E45" i="28"/>
  <c r="H45" i="28" s="1"/>
  <c r="E49" i="28"/>
  <c r="H49" i="28" s="1"/>
  <c r="E54" i="28"/>
  <c r="H54" i="28" s="1"/>
  <c r="E5" i="28"/>
  <c r="H5" i="28" s="1"/>
  <c r="E42" i="27"/>
  <c r="H42" i="27" s="1"/>
  <c r="E27" i="27"/>
  <c r="H27" i="27" s="1"/>
  <c r="E43" i="27"/>
  <c r="H43" i="27" s="1"/>
  <c r="E46" i="27"/>
  <c r="H46" i="27" s="1"/>
  <c r="E47" i="27"/>
  <c r="H47" i="27" s="1"/>
  <c r="E33" i="27"/>
  <c r="H33" i="27" s="1"/>
  <c r="E50" i="27"/>
  <c r="H50" i="27" s="1"/>
  <c r="E39" i="27"/>
  <c r="H39" i="27" s="1"/>
  <c r="E18" i="27"/>
  <c r="H18" i="27" s="1"/>
  <c r="E34" i="27"/>
  <c r="H34" i="27" s="1"/>
  <c r="E19" i="27"/>
  <c r="H19" i="27" s="1"/>
  <c r="E38" i="27"/>
  <c r="H38" i="27" s="1"/>
  <c r="E29" i="27"/>
  <c r="H29" i="27" s="1"/>
  <c r="E20" i="27"/>
  <c r="H20" i="27" s="1"/>
  <c r="E25" i="27"/>
  <c r="H25" i="27" s="1"/>
  <c r="E35" i="27"/>
  <c r="H35" i="27" s="1"/>
  <c r="E40" i="27"/>
  <c r="H40" i="27" s="1"/>
  <c r="E44" i="27"/>
  <c r="H44" i="27" s="1"/>
  <c r="E48" i="27"/>
  <c r="H48" i="27" s="1"/>
  <c r="E53" i="27"/>
  <c r="H53" i="27" s="1"/>
  <c r="E30" i="27"/>
  <c r="H30" i="27" s="1"/>
  <c r="H4" i="27"/>
  <c r="E17" i="27"/>
  <c r="E26" i="27"/>
  <c r="H26" i="27" s="1"/>
  <c r="E36" i="27"/>
  <c r="E41" i="27"/>
  <c r="H41" i="27" s="1"/>
  <c r="E45" i="27"/>
  <c r="H45" i="27" s="1"/>
  <c r="E49" i="27"/>
  <c r="H49" i="27" s="1"/>
  <c r="E54" i="27"/>
  <c r="H54" i="27" s="1"/>
  <c r="E5" i="27"/>
  <c r="H5" i="27" s="1"/>
  <c r="E33" i="26"/>
  <c r="H33" i="26" s="1"/>
  <c r="E42" i="26"/>
  <c r="H42" i="26" s="1"/>
  <c r="E50" i="26"/>
  <c r="H50" i="26" s="1"/>
  <c r="E18" i="26"/>
  <c r="H18" i="26" s="1"/>
  <c r="E27" i="26"/>
  <c r="H27" i="26" s="1"/>
  <c r="E38" i="26"/>
  <c r="H38" i="26" s="1"/>
  <c r="E46" i="26"/>
  <c r="H46" i="26" s="1"/>
  <c r="E19" i="26"/>
  <c r="H19" i="26" s="1"/>
  <c r="E34" i="26"/>
  <c r="H34" i="26" s="1"/>
  <c r="E39" i="26"/>
  <c r="H39" i="26" s="1"/>
  <c r="E43" i="26"/>
  <c r="H43" i="26" s="1"/>
  <c r="E47" i="26"/>
  <c r="H47" i="26" s="1"/>
  <c r="E20" i="26"/>
  <c r="H20" i="26" s="1"/>
  <c r="E25" i="26"/>
  <c r="H25" i="26" s="1"/>
  <c r="E35" i="26"/>
  <c r="H35" i="26" s="1"/>
  <c r="E40" i="26"/>
  <c r="H40" i="26" s="1"/>
  <c r="E44" i="26"/>
  <c r="H44" i="26" s="1"/>
  <c r="E48" i="26"/>
  <c r="H48" i="26" s="1"/>
  <c r="E53" i="26"/>
  <c r="H53" i="26" s="1"/>
  <c r="E30" i="26"/>
  <c r="H30" i="26" s="1"/>
  <c r="H4" i="26"/>
  <c r="E17" i="26"/>
  <c r="E26" i="26"/>
  <c r="H26" i="26" s="1"/>
  <c r="E36" i="26"/>
  <c r="E41" i="26"/>
  <c r="H41" i="26" s="1"/>
  <c r="E45" i="26"/>
  <c r="H45" i="26" s="1"/>
  <c r="E49" i="26"/>
  <c r="H49" i="26" s="1"/>
  <c r="E54" i="26"/>
  <c r="H54" i="26" s="1"/>
  <c r="E29" i="26"/>
  <c r="H29" i="26" s="1"/>
  <c r="E5" i="26"/>
  <c r="H5" i="26" s="1"/>
  <c r="E35" i="25"/>
  <c r="H35" i="25" s="1"/>
  <c r="E46" i="25"/>
  <c r="H46" i="25" s="1"/>
  <c r="H4" i="25"/>
  <c r="E36" i="25"/>
  <c r="E48" i="25"/>
  <c r="H48" i="25" s="1"/>
  <c r="E25" i="25"/>
  <c r="H25" i="25" s="1"/>
  <c r="E38" i="25"/>
  <c r="H38" i="25" s="1"/>
  <c r="E49" i="25"/>
  <c r="H49" i="25" s="1"/>
  <c r="E26" i="25"/>
  <c r="H26" i="25" s="1"/>
  <c r="E40" i="25"/>
  <c r="H40" i="25" s="1"/>
  <c r="E50" i="25"/>
  <c r="H50" i="25" s="1"/>
  <c r="E27" i="25"/>
  <c r="H27" i="25" s="1"/>
  <c r="E41" i="25"/>
  <c r="H41" i="25" s="1"/>
  <c r="E17" i="25"/>
  <c r="H17" i="25" s="1"/>
  <c r="E42" i="25"/>
  <c r="H42" i="25" s="1"/>
  <c r="E18" i="25"/>
  <c r="H18" i="25" s="1"/>
  <c r="E44" i="25"/>
  <c r="H44" i="25" s="1"/>
  <c r="E20" i="25"/>
  <c r="H20" i="25" s="1"/>
  <c r="E33" i="25"/>
  <c r="H33" i="25" s="1"/>
  <c r="E45" i="25"/>
  <c r="H45" i="25" s="1"/>
  <c r="E19" i="25"/>
  <c r="H19" i="25" s="1"/>
  <c r="E34" i="25"/>
  <c r="H34" i="25" s="1"/>
  <c r="E39" i="25"/>
  <c r="H39" i="25" s="1"/>
  <c r="E43" i="25"/>
  <c r="H43" i="25" s="1"/>
  <c r="E47" i="25"/>
  <c r="H47" i="25" s="1"/>
  <c r="E29" i="25"/>
  <c r="H29" i="25" s="1"/>
  <c r="E53" i="25"/>
  <c r="H53" i="25" s="1"/>
  <c r="E30" i="25"/>
  <c r="H30" i="25" s="1"/>
  <c r="E54" i="25"/>
  <c r="H54" i="25" s="1"/>
  <c r="E5" i="25"/>
  <c r="H5" i="25" s="1"/>
  <c r="E27" i="24"/>
  <c r="H27" i="24" s="1"/>
  <c r="E38" i="24"/>
  <c r="H38" i="24" s="1"/>
  <c r="E50" i="24"/>
  <c r="H50" i="24" s="1"/>
  <c r="E19" i="24"/>
  <c r="H19" i="24" s="1"/>
  <c r="E34" i="24"/>
  <c r="H34" i="24" s="1"/>
  <c r="E39" i="24"/>
  <c r="H39" i="24" s="1"/>
  <c r="E43" i="24"/>
  <c r="H43" i="24" s="1"/>
  <c r="E47" i="24"/>
  <c r="H47" i="24" s="1"/>
  <c r="E33" i="24"/>
  <c r="H33" i="24" s="1"/>
  <c r="E29" i="24"/>
  <c r="H29" i="24" s="1"/>
  <c r="E18" i="24"/>
  <c r="H18" i="24" s="1"/>
  <c r="E46" i="24"/>
  <c r="H46" i="24" s="1"/>
  <c r="E20" i="24"/>
  <c r="H20" i="24" s="1"/>
  <c r="E25" i="24"/>
  <c r="H25" i="24" s="1"/>
  <c r="E35" i="24"/>
  <c r="H35" i="24" s="1"/>
  <c r="E40" i="24"/>
  <c r="H40" i="24" s="1"/>
  <c r="E44" i="24"/>
  <c r="H44" i="24" s="1"/>
  <c r="E48" i="24"/>
  <c r="H48" i="24" s="1"/>
  <c r="E53" i="24"/>
  <c r="H53" i="24" s="1"/>
  <c r="E30" i="24"/>
  <c r="H30" i="24" s="1"/>
  <c r="H4" i="24"/>
  <c r="E17" i="24"/>
  <c r="E26" i="24"/>
  <c r="H26" i="24" s="1"/>
  <c r="E36" i="24"/>
  <c r="E41" i="24"/>
  <c r="H41" i="24" s="1"/>
  <c r="E45" i="24"/>
  <c r="H45" i="24" s="1"/>
  <c r="E49" i="24"/>
  <c r="H49" i="24" s="1"/>
  <c r="E54" i="24"/>
  <c r="H54" i="24" s="1"/>
  <c r="E42" i="24"/>
  <c r="H42" i="24" s="1"/>
  <c r="E5" i="24"/>
  <c r="H5" i="24" s="1"/>
  <c r="E19" i="23"/>
  <c r="H19" i="23" s="1"/>
  <c r="E34" i="23"/>
  <c r="H34" i="23" s="1"/>
  <c r="E39" i="23"/>
  <c r="H39" i="23" s="1"/>
  <c r="E43" i="23"/>
  <c r="H43" i="23" s="1"/>
  <c r="E47" i="23"/>
  <c r="H47" i="23" s="1"/>
  <c r="E29" i="23"/>
  <c r="H29" i="23" s="1"/>
  <c r="E18" i="23"/>
  <c r="H18" i="23" s="1"/>
  <c r="E27" i="23"/>
  <c r="H27" i="23" s="1"/>
  <c r="E33" i="23"/>
  <c r="H33" i="23" s="1"/>
  <c r="E38" i="23"/>
  <c r="H38" i="23" s="1"/>
  <c r="E42" i="23"/>
  <c r="H42" i="23" s="1"/>
  <c r="E46" i="23"/>
  <c r="H46" i="23" s="1"/>
  <c r="E50" i="23"/>
  <c r="H50" i="23" s="1"/>
  <c r="E20" i="23"/>
  <c r="H20" i="23" s="1"/>
  <c r="E25" i="23"/>
  <c r="H25" i="23" s="1"/>
  <c r="E35" i="23"/>
  <c r="H35" i="23" s="1"/>
  <c r="E40" i="23"/>
  <c r="H40" i="23" s="1"/>
  <c r="E44" i="23"/>
  <c r="H44" i="23" s="1"/>
  <c r="E48" i="23"/>
  <c r="H48" i="23" s="1"/>
  <c r="E53" i="23"/>
  <c r="H53" i="23" s="1"/>
  <c r="E30" i="23"/>
  <c r="H30" i="23" s="1"/>
  <c r="H4" i="23"/>
  <c r="E17" i="23"/>
  <c r="E26" i="23"/>
  <c r="H26" i="23" s="1"/>
  <c r="E36" i="23"/>
  <c r="E41" i="23"/>
  <c r="H41" i="23" s="1"/>
  <c r="E45" i="23"/>
  <c r="H45" i="23" s="1"/>
  <c r="E49" i="23"/>
  <c r="H49" i="23" s="1"/>
  <c r="E54" i="23"/>
  <c r="H54" i="23" s="1"/>
  <c r="E5" i="23"/>
  <c r="H5" i="23" s="1"/>
  <c r="E18" i="22"/>
  <c r="H18" i="22" s="1"/>
  <c r="E19" i="22"/>
  <c r="H19" i="22" s="1"/>
  <c r="E34" i="22"/>
  <c r="H34" i="22" s="1"/>
  <c r="E39" i="22"/>
  <c r="H39" i="22" s="1"/>
  <c r="E43" i="22"/>
  <c r="H43" i="22" s="1"/>
  <c r="E47" i="22"/>
  <c r="H47" i="22" s="1"/>
  <c r="E29" i="22"/>
  <c r="H29" i="22" s="1"/>
  <c r="E20" i="22"/>
  <c r="H20" i="22" s="1"/>
  <c r="E25" i="22"/>
  <c r="H25" i="22" s="1"/>
  <c r="E35" i="22"/>
  <c r="H35" i="22" s="1"/>
  <c r="E40" i="22"/>
  <c r="H40" i="22" s="1"/>
  <c r="E44" i="22"/>
  <c r="H44" i="22" s="1"/>
  <c r="E48" i="22"/>
  <c r="H48" i="22" s="1"/>
  <c r="E53" i="22"/>
  <c r="H53" i="22" s="1"/>
  <c r="E30" i="22"/>
  <c r="H30" i="22" s="1"/>
  <c r="E27" i="22"/>
  <c r="H27" i="22" s="1"/>
  <c r="E38" i="22"/>
  <c r="H38" i="22" s="1"/>
  <c r="E42" i="22"/>
  <c r="H42" i="22" s="1"/>
  <c r="E46" i="22"/>
  <c r="H46" i="22" s="1"/>
  <c r="E50" i="22"/>
  <c r="H50" i="22" s="1"/>
  <c r="H4" i="22"/>
  <c r="E17" i="22"/>
  <c r="E26" i="22"/>
  <c r="H26" i="22" s="1"/>
  <c r="E36" i="22"/>
  <c r="E41" i="22"/>
  <c r="H41" i="22" s="1"/>
  <c r="E45" i="22"/>
  <c r="H45" i="22" s="1"/>
  <c r="E49" i="22"/>
  <c r="H49" i="22" s="1"/>
  <c r="E54" i="22"/>
  <c r="H54" i="22" s="1"/>
  <c r="E33" i="22"/>
  <c r="H33" i="22" s="1"/>
  <c r="E5" i="22"/>
  <c r="H5" i="22" s="1"/>
  <c r="E33" i="21"/>
  <c r="H33" i="21" s="1"/>
  <c r="E38" i="21"/>
  <c r="H38" i="21" s="1"/>
  <c r="E18" i="21"/>
  <c r="H18" i="21" s="1"/>
  <c r="E19" i="21"/>
  <c r="H19" i="21" s="1"/>
  <c r="E34" i="21"/>
  <c r="H34" i="21" s="1"/>
  <c r="E39" i="21"/>
  <c r="H39" i="21" s="1"/>
  <c r="E43" i="21"/>
  <c r="H43" i="21" s="1"/>
  <c r="E47" i="21"/>
  <c r="H47" i="21" s="1"/>
  <c r="E29" i="21"/>
  <c r="H29" i="21" s="1"/>
  <c r="E20" i="21"/>
  <c r="H20" i="21" s="1"/>
  <c r="E25" i="21"/>
  <c r="H25" i="21" s="1"/>
  <c r="E35" i="21"/>
  <c r="H35" i="21" s="1"/>
  <c r="E40" i="21"/>
  <c r="H40" i="21" s="1"/>
  <c r="E44" i="21"/>
  <c r="H44" i="21" s="1"/>
  <c r="E48" i="21"/>
  <c r="H48" i="21" s="1"/>
  <c r="E53" i="21"/>
  <c r="H53" i="21" s="1"/>
  <c r="E30" i="21"/>
  <c r="H30" i="21" s="1"/>
  <c r="H4" i="21"/>
  <c r="E17" i="21"/>
  <c r="E26" i="21"/>
  <c r="H26" i="21" s="1"/>
  <c r="E36" i="21"/>
  <c r="E41" i="21"/>
  <c r="H41" i="21" s="1"/>
  <c r="E45" i="21"/>
  <c r="H45" i="21" s="1"/>
  <c r="E49" i="21"/>
  <c r="H49" i="21" s="1"/>
  <c r="E54" i="21"/>
  <c r="H54" i="21" s="1"/>
  <c r="E27" i="21"/>
  <c r="H27" i="21" s="1"/>
  <c r="E42" i="21"/>
  <c r="H42" i="21" s="1"/>
  <c r="E46" i="21"/>
  <c r="H46" i="21" s="1"/>
  <c r="E50" i="21"/>
  <c r="H50" i="21" s="1"/>
  <c r="E5" i="21"/>
  <c r="H5" i="21" s="1"/>
  <c r="H52" i="20"/>
  <c r="H51" i="20"/>
  <c r="H31" i="20"/>
  <c r="H28" i="20"/>
  <c r="E24" i="20"/>
  <c r="H23" i="20"/>
  <c r="H16" i="20"/>
  <c r="H15" i="20"/>
  <c r="E14" i="20"/>
  <c r="E12" i="20"/>
  <c r="H12" i="20" s="1"/>
  <c r="H11" i="20"/>
  <c r="H10" i="20"/>
  <c r="H9" i="20"/>
  <c r="H8" i="20"/>
  <c r="H7" i="20"/>
  <c r="H6" i="20"/>
  <c r="E4" i="20"/>
  <c r="E54" i="20" s="1"/>
  <c r="H54" i="20" s="1"/>
  <c r="H3" i="20"/>
  <c r="H2" i="20"/>
  <c r="H17" i="35" l="1"/>
  <c r="E13" i="35"/>
  <c r="H17" i="33"/>
  <c r="E13" i="33"/>
  <c r="H17" i="32"/>
  <c r="E13" i="32"/>
  <c r="H17" i="31"/>
  <c r="E13" i="31"/>
  <c r="H17" i="30"/>
  <c r="E13" i="30"/>
  <c r="H17" i="29"/>
  <c r="E13" i="29"/>
  <c r="H17" i="28"/>
  <c r="E13" i="28"/>
  <c r="H17" i="27"/>
  <c r="E13" i="27"/>
  <c r="H17" i="26"/>
  <c r="E13" i="26"/>
  <c r="E13" i="25"/>
  <c r="E21" i="25" s="1"/>
  <c r="H21" i="25" s="1"/>
  <c r="H17" i="24"/>
  <c r="E13" i="24"/>
  <c r="H17" i="23"/>
  <c r="E13" i="23"/>
  <c r="H17" i="22"/>
  <c r="E13" i="22"/>
  <c r="H17" i="21"/>
  <c r="E13" i="21"/>
  <c r="E40" i="20"/>
  <c r="H40" i="20" s="1"/>
  <c r="E20" i="20"/>
  <c r="H20" i="20" s="1"/>
  <c r="E35" i="20"/>
  <c r="H35" i="20" s="1"/>
  <c r="E39" i="20"/>
  <c r="H39" i="20" s="1"/>
  <c r="E44" i="20"/>
  <c r="H44" i="20" s="1"/>
  <c r="E25" i="20"/>
  <c r="H25" i="20" s="1"/>
  <c r="E43" i="20"/>
  <c r="H43" i="20" s="1"/>
  <c r="E5" i="20"/>
  <c r="H5" i="20" s="1"/>
  <c r="E29" i="20"/>
  <c r="H29" i="20" s="1"/>
  <c r="E47" i="20"/>
  <c r="H47" i="20" s="1"/>
  <c r="E19" i="20"/>
  <c r="H19" i="20" s="1"/>
  <c r="E34" i="20"/>
  <c r="H34" i="20" s="1"/>
  <c r="E37" i="20"/>
  <c r="E18" i="20"/>
  <c r="H18" i="20" s="1"/>
  <c r="E27" i="20"/>
  <c r="H27" i="20" s="1"/>
  <c r="E33" i="20"/>
  <c r="H33" i="20" s="1"/>
  <c r="E38" i="20"/>
  <c r="H38" i="20" s="1"/>
  <c r="E42" i="20"/>
  <c r="H42" i="20" s="1"/>
  <c r="E46" i="20"/>
  <c r="H46" i="20" s="1"/>
  <c r="E50" i="20"/>
  <c r="H50" i="20" s="1"/>
  <c r="E30" i="20"/>
  <c r="H30" i="20" s="1"/>
  <c r="E48" i="20"/>
  <c r="H48" i="20" s="1"/>
  <c r="E53" i="20"/>
  <c r="H53" i="20" s="1"/>
  <c r="H4" i="20"/>
  <c r="E17" i="20"/>
  <c r="E26" i="20"/>
  <c r="H26" i="20" s="1"/>
  <c r="E36" i="20"/>
  <c r="E41" i="20"/>
  <c r="H41" i="20" s="1"/>
  <c r="E45" i="20"/>
  <c r="H45" i="20" s="1"/>
  <c r="E49" i="20"/>
  <c r="H49" i="20" s="1"/>
  <c r="H52" i="19"/>
  <c r="H51" i="19"/>
  <c r="H31" i="19"/>
  <c r="H28" i="19"/>
  <c r="E24" i="19"/>
  <c r="H23" i="19"/>
  <c r="H16" i="19"/>
  <c r="H15" i="19"/>
  <c r="E14" i="19"/>
  <c r="E12" i="19"/>
  <c r="H12" i="19" s="1"/>
  <c r="H11" i="19"/>
  <c r="H10" i="19"/>
  <c r="H9" i="19"/>
  <c r="H8" i="19"/>
  <c r="H7" i="19"/>
  <c r="H6" i="19"/>
  <c r="E4" i="19"/>
  <c r="E54" i="19" s="1"/>
  <c r="H54" i="19" s="1"/>
  <c r="H3" i="19"/>
  <c r="H2" i="19"/>
  <c r="E21" i="35" l="1"/>
  <c r="H21" i="35" s="1"/>
  <c r="E22" i="35"/>
  <c r="H22" i="35" s="1"/>
  <c r="H13" i="35"/>
  <c r="E22" i="33"/>
  <c r="H22" i="33" s="1"/>
  <c r="E21" i="33"/>
  <c r="H21" i="33" s="1"/>
  <c r="H13" i="33"/>
  <c r="E21" i="32"/>
  <c r="H21" i="32" s="1"/>
  <c r="E22" i="32"/>
  <c r="H22" i="32" s="1"/>
  <c r="H13" i="32"/>
  <c r="E21" i="31"/>
  <c r="H21" i="31" s="1"/>
  <c r="H13" i="31"/>
  <c r="E22" i="31"/>
  <c r="H22" i="31" s="1"/>
  <c r="E21" i="30"/>
  <c r="H21" i="30" s="1"/>
  <c r="H13" i="30"/>
  <c r="E22" i="30"/>
  <c r="H22" i="30" s="1"/>
  <c r="E21" i="29"/>
  <c r="H21" i="29" s="1"/>
  <c r="H13" i="29"/>
  <c r="E22" i="29"/>
  <c r="H22" i="29" s="1"/>
  <c r="E21" i="28"/>
  <c r="H21" i="28" s="1"/>
  <c r="E22" i="28"/>
  <c r="H22" i="28" s="1"/>
  <c r="H13" i="28"/>
  <c r="H13" i="27"/>
  <c r="E21" i="27"/>
  <c r="H21" i="27" s="1"/>
  <c r="E22" i="27"/>
  <c r="H22" i="27" s="1"/>
  <c r="E21" i="26"/>
  <c r="H21" i="26" s="1"/>
  <c r="H13" i="26"/>
  <c r="E22" i="26"/>
  <c r="H22" i="26" s="1"/>
  <c r="H13" i="25"/>
  <c r="E22" i="25"/>
  <c r="H22" i="25" s="1"/>
  <c r="E21" i="24"/>
  <c r="H21" i="24" s="1"/>
  <c r="E22" i="24"/>
  <c r="H22" i="24" s="1"/>
  <c r="H13" i="24"/>
  <c r="E21" i="23"/>
  <c r="H21" i="23" s="1"/>
  <c r="H13" i="23"/>
  <c r="E22" i="23"/>
  <c r="H22" i="23" s="1"/>
  <c r="E22" i="22"/>
  <c r="H22" i="22" s="1"/>
  <c r="E21" i="22"/>
  <c r="H21" i="22" s="1"/>
  <c r="H13" i="22"/>
  <c r="E22" i="21"/>
  <c r="H22" i="21" s="1"/>
  <c r="E21" i="21"/>
  <c r="H21" i="21" s="1"/>
  <c r="H13" i="21"/>
  <c r="E13" i="20"/>
  <c r="H17" i="20"/>
  <c r="E27" i="19"/>
  <c r="H27" i="19" s="1"/>
  <c r="E5" i="19"/>
  <c r="H5" i="19" s="1"/>
  <c r="E18" i="19"/>
  <c r="H18" i="19" s="1"/>
  <c r="E37" i="19"/>
  <c r="E33" i="19"/>
  <c r="H33" i="19" s="1"/>
  <c r="E38" i="19"/>
  <c r="H38" i="19" s="1"/>
  <c r="E42" i="19"/>
  <c r="H42" i="19" s="1"/>
  <c r="E46" i="19"/>
  <c r="H46" i="19" s="1"/>
  <c r="E50" i="19"/>
  <c r="H50" i="19" s="1"/>
  <c r="E19" i="19"/>
  <c r="H19" i="19" s="1"/>
  <c r="E34" i="19"/>
  <c r="H34" i="19" s="1"/>
  <c r="E39" i="19"/>
  <c r="H39" i="19" s="1"/>
  <c r="E43" i="19"/>
  <c r="H43" i="19" s="1"/>
  <c r="E47" i="19"/>
  <c r="H47" i="19" s="1"/>
  <c r="E20" i="19"/>
  <c r="H20" i="19" s="1"/>
  <c r="E25" i="19"/>
  <c r="H25" i="19" s="1"/>
  <c r="E35" i="19"/>
  <c r="H35" i="19" s="1"/>
  <c r="E40" i="19"/>
  <c r="H40" i="19" s="1"/>
  <c r="E44" i="19"/>
  <c r="H44" i="19" s="1"/>
  <c r="E48" i="19"/>
  <c r="H48" i="19" s="1"/>
  <c r="E53" i="19"/>
  <c r="H53" i="19" s="1"/>
  <c r="E29" i="19"/>
  <c r="H29" i="19" s="1"/>
  <c r="E30" i="19"/>
  <c r="H30" i="19" s="1"/>
  <c r="H4" i="19"/>
  <c r="E17" i="19"/>
  <c r="E26" i="19"/>
  <c r="H26" i="19" s="1"/>
  <c r="E36" i="19"/>
  <c r="E41" i="19"/>
  <c r="H41" i="19" s="1"/>
  <c r="E45" i="19"/>
  <c r="H45" i="19" s="1"/>
  <c r="E49" i="19"/>
  <c r="H49" i="19" s="1"/>
  <c r="H51" i="8"/>
  <c r="H52" i="8"/>
  <c r="E21" i="20" l="1"/>
  <c r="H21" i="20" s="1"/>
  <c r="H13" i="20"/>
  <c r="E22" i="20"/>
  <c r="H22" i="20" s="1"/>
  <c r="H17" i="19"/>
  <c r="E13" i="19"/>
  <c r="E24" i="8"/>
  <c r="FF4" i="13"/>
  <c r="FF5" i="13"/>
  <c r="FF6" i="13"/>
  <c r="FF7" i="13"/>
  <c r="FF8" i="13"/>
  <c r="FF9" i="13"/>
  <c r="FF10" i="13"/>
  <c r="FF3" i="13"/>
  <c r="EX4" i="13"/>
  <c r="EX5" i="13"/>
  <c r="EX6" i="13"/>
  <c r="EX7" i="13"/>
  <c r="EX3" i="13"/>
  <c r="EL4" i="13"/>
  <c r="EL5" i="13"/>
  <c r="EL6" i="13"/>
  <c r="EL7" i="13"/>
  <c r="EL8" i="13"/>
  <c r="EL9" i="13"/>
  <c r="EL3" i="13"/>
  <c r="EJ4" i="13"/>
  <c r="EJ5" i="13"/>
  <c r="EJ6" i="13"/>
  <c r="EJ7" i="13"/>
  <c r="EJ8" i="13"/>
  <c r="EJ9" i="13"/>
  <c r="EJ3" i="13"/>
  <c r="EF4" i="13"/>
  <c r="EF5" i="13"/>
  <c r="EF6" i="13"/>
  <c r="EF7" i="13"/>
  <c r="EF8" i="13"/>
  <c r="EF9" i="13"/>
  <c r="EF3" i="13"/>
  <c r="ED4" i="13"/>
  <c r="ED5" i="13"/>
  <c r="ED6" i="13"/>
  <c r="ED7" i="13"/>
  <c r="ED8" i="13"/>
  <c r="ED9" i="13"/>
  <c r="ED3" i="13"/>
  <c r="DW4" i="13"/>
  <c r="DW5" i="13"/>
  <c r="DW6" i="13"/>
  <c r="DW7" i="13"/>
  <c r="DW8" i="13"/>
  <c r="DW9" i="13"/>
  <c r="DW3" i="13"/>
  <c r="BH8" i="13"/>
  <c r="BH7" i="13"/>
  <c r="BH6" i="13"/>
  <c r="BH5" i="13"/>
  <c r="BH4" i="13"/>
  <c r="BH3" i="13"/>
  <c r="BD4" i="13"/>
  <c r="BD5" i="13"/>
  <c r="BD6" i="13"/>
  <c r="BD7" i="13"/>
  <c r="BD8" i="13"/>
  <c r="BD3" i="13"/>
  <c r="BB4" i="13"/>
  <c r="BB5" i="13"/>
  <c r="BB6" i="13"/>
  <c r="BB7" i="13"/>
  <c r="BB8" i="13"/>
  <c r="BB3" i="13"/>
  <c r="AX4" i="13"/>
  <c r="AX5" i="13"/>
  <c r="AX6" i="13"/>
  <c r="AX7" i="13"/>
  <c r="AX8" i="13"/>
  <c r="AX3" i="13"/>
  <c r="AV4" i="13"/>
  <c r="AV5" i="13"/>
  <c r="AV6" i="13"/>
  <c r="AV7" i="13"/>
  <c r="AV8" i="13"/>
  <c r="AV3" i="13"/>
  <c r="AT4" i="13"/>
  <c r="AT5" i="13"/>
  <c r="AT6" i="13"/>
  <c r="AT7" i="13"/>
  <c r="AT8" i="13"/>
  <c r="AT3" i="13"/>
  <c r="AR4" i="13"/>
  <c r="AR5" i="13"/>
  <c r="AR6" i="13"/>
  <c r="AR7" i="13"/>
  <c r="AR8" i="13"/>
  <c r="AR3" i="13"/>
  <c r="AO4" i="13"/>
  <c r="AO5" i="13"/>
  <c r="AO6" i="13"/>
  <c r="AO7" i="13"/>
  <c r="AO8" i="13"/>
  <c r="AO3" i="13"/>
  <c r="P4" i="13"/>
  <c r="P5" i="13"/>
  <c r="P6" i="13"/>
  <c r="P7" i="13"/>
  <c r="P3" i="13"/>
  <c r="M4" i="13"/>
  <c r="M5" i="13"/>
  <c r="M6" i="13"/>
  <c r="M7" i="13"/>
  <c r="M3" i="13"/>
  <c r="E21" i="19" l="1"/>
  <c r="H21" i="19" s="1"/>
  <c r="E22" i="19"/>
  <c r="H22" i="19" s="1"/>
  <c r="H13" i="19"/>
  <c r="H6" i="8"/>
  <c r="H7" i="8"/>
  <c r="H2" i="8" l="1"/>
  <c r="H23" i="8"/>
  <c r="H16" i="8"/>
  <c r="H15" i="8"/>
  <c r="H8" i="8" l="1"/>
  <c r="H9" i="8"/>
  <c r="H10" i="8"/>
  <c r="H11" i="8"/>
  <c r="H3" i="8"/>
  <c r="E4" i="8"/>
  <c r="E39" i="8" l="1"/>
  <c r="H39" i="8" s="1"/>
  <c r="E38" i="8"/>
  <c r="H38" i="8" s="1"/>
  <c r="E53" i="8"/>
  <c r="H53" i="8" s="1"/>
  <c r="E36" i="8"/>
  <c r="E37" i="8"/>
  <c r="E50" i="8"/>
  <c r="H50" i="8" s="1"/>
  <c r="E54" i="8"/>
  <c r="H54" i="8" s="1"/>
  <c r="E33" i="8"/>
  <c r="H33" i="8" s="1"/>
  <c r="E17" i="8"/>
  <c r="E42" i="8"/>
  <c r="H42" i="8" s="1"/>
  <c r="E40" i="8"/>
  <c r="H31" i="8"/>
  <c r="E34" i="8"/>
  <c r="H34" i="8" s="1"/>
  <c r="E41" i="8"/>
  <c r="H41" i="8" s="1"/>
  <c r="E49" i="8"/>
  <c r="H49" i="8" s="1"/>
  <c r="E47" i="8"/>
  <c r="H47" i="8" s="1"/>
  <c r="E44" i="8"/>
  <c r="H44" i="8" s="1"/>
  <c r="E46" i="8"/>
  <c r="H46" i="8" s="1"/>
  <c r="E45" i="8"/>
  <c r="H45" i="8" s="1"/>
  <c r="E43" i="8"/>
  <c r="H43" i="8" s="1"/>
  <c r="E29" i="8"/>
  <c r="H29" i="8" s="1"/>
  <c r="E30" i="8"/>
  <c r="H30" i="8" s="1"/>
  <c r="E48" i="8"/>
  <c r="H48" i="8" s="1"/>
  <c r="E35" i="8"/>
  <c r="H35" i="8" s="1"/>
  <c r="E18" i="8"/>
  <c r="H18" i="8" s="1"/>
  <c r="E20" i="8"/>
  <c r="H20" i="8" s="1"/>
  <c r="E19" i="8"/>
  <c r="H19" i="8" s="1"/>
  <c r="E5" i="8"/>
  <c r="E25" i="8"/>
  <c r="H25" i="8" s="1"/>
  <c r="E27" i="8"/>
  <c r="H27" i="8" s="1"/>
  <c r="E26" i="8"/>
  <c r="H26" i="8" s="1"/>
  <c r="H28" i="8"/>
  <c r="H4" i="8"/>
  <c r="E12" i="8"/>
  <c r="AE3" i="17"/>
  <c r="AE4" i="17"/>
  <c r="AE5" i="17"/>
  <c r="AE6" i="17"/>
  <c r="AE7" i="17"/>
  <c r="AE8" i="17"/>
  <c r="AE9" i="17"/>
  <c r="AE10" i="17"/>
  <c r="AE11" i="17"/>
  <c r="AE12" i="17"/>
  <c r="AE13" i="17"/>
  <c r="AE14" i="17"/>
  <c r="AE15" i="17"/>
  <c r="AE2" i="17"/>
  <c r="Q3" i="17"/>
  <c r="Q4" i="17"/>
  <c r="Q5" i="17"/>
  <c r="Q6" i="17"/>
  <c r="Q7" i="17"/>
  <c r="Q8" i="17"/>
  <c r="Q9" i="17"/>
  <c r="Q10" i="17"/>
  <c r="Q11" i="17"/>
  <c r="Q12" i="17"/>
  <c r="Q13" i="17"/>
  <c r="Q14" i="17"/>
  <c r="Q15" i="17"/>
  <c r="Q2" i="17"/>
  <c r="K3" i="17"/>
  <c r="K4" i="17"/>
  <c r="K5" i="17"/>
  <c r="K6" i="17"/>
  <c r="K7" i="17"/>
  <c r="K8" i="17"/>
  <c r="K9" i="17"/>
  <c r="K10" i="17"/>
  <c r="K11" i="17"/>
  <c r="K12" i="17"/>
  <c r="K13" i="17"/>
  <c r="K14" i="17"/>
  <c r="K15" i="17"/>
  <c r="K2" i="17"/>
  <c r="I3" i="17"/>
  <c r="I4" i="17"/>
  <c r="I5" i="17"/>
  <c r="I6" i="17"/>
  <c r="I7" i="17"/>
  <c r="I8" i="17"/>
  <c r="I9" i="17"/>
  <c r="I10" i="17"/>
  <c r="I11" i="17"/>
  <c r="I12" i="17"/>
  <c r="I13" i="17"/>
  <c r="I14" i="17"/>
  <c r="I15" i="17"/>
  <c r="I2" i="17"/>
  <c r="ET2" i="17"/>
  <c r="FM2" i="17"/>
  <c r="CA2" i="17"/>
  <c r="BY2" i="17"/>
  <c r="BW2" i="17"/>
  <c r="BU2" i="17"/>
  <c r="BS2" i="17"/>
  <c r="BQ2" i="17"/>
  <c r="BO2" i="17"/>
  <c r="BM2" i="17"/>
  <c r="BK2" i="17"/>
  <c r="BI2" i="17"/>
  <c r="BG2" i="17"/>
  <c r="BE2" i="17"/>
  <c r="BC2" i="17"/>
  <c r="BA2" i="17"/>
  <c r="AY2" i="17"/>
  <c r="AW2" i="17"/>
  <c r="AU2" i="17"/>
  <c r="AS2" i="17"/>
  <c r="AQ2" i="17"/>
  <c r="AO2" i="17"/>
  <c r="AM2" i="17"/>
  <c r="AK2" i="17"/>
  <c r="AI2" i="17"/>
  <c r="AG2" i="17"/>
  <c r="AC2" i="17"/>
  <c r="AA2" i="17"/>
  <c r="Y2" i="17"/>
  <c r="W2" i="17"/>
  <c r="U2" i="17"/>
  <c r="S2" i="17"/>
  <c r="O2" i="17"/>
  <c r="M2" i="17"/>
  <c r="G2" i="17"/>
  <c r="E2" i="17"/>
  <c r="C2" i="17"/>
  <c r="E13" i="8" l="1"/>
  <c r="H13" i="8" s="1"/>
  <c r="H17" i="8"/>
  <c r="H5" i="8"/>
  <c r="H12" i="8"/>
  <c r="FV2" i="17"/>
  <c r="E14" i="8" s="1"/>
  <c r="H40" i="8"/>
  <c r="E22" i="8" l="1"/>
  <c r="H22" i="8" s="1"/>
  <c r="E21" i="8"/>
  <c r="H21" i="8" s="1"/>
</calcChain>
</file>

<file path=xl/comments1.xml><?xml version="1.0" encoding="utf-8"?>
<comments xmlns="http://schemas.openxmlformats.org/spreadsheetml/2006/main">
  <authors>
    <author>James O Sullivan</author>
  </authors>
  <commentList>
    <comment ref="M1" authorId="0" shapeId="0">
      <text>
        <r>
          <rPr>
            <b/>
            <sz val="9"/>
            <color indexed="81"/>
            <rFont val="Tahoma"/>
            <family val="2"/>
          </rPr>
          <t>James O Sullivan:</t>
        </r>
        <r>
          <rPr>
            <sz val="9"/>
            <color indexed="81"/>
            <rFont val="Tahoma"/>
            <family val="2"/>
          </rPr>
          <t xml:space="preserve">
How often is it possible to get an update on positioning</t>
        </r>
      </text>
    </comment>
    <comment ref="AH1" authorId="0" shapeId="0">
      <text>
        <r>
          <rPr>
            <b/>
            <sz val="9"/>
            <color indexed="81"/>
            <rFont val="Tahoma"/>
            <family val="2"/>
          </rPr>
          <t>James O Sullivan:</t>
        </r>
        <r>
          <rPr>
            <sz val="9"/>
            <color indexed="81"/>
            <rFont val="Tahoma"/>
            <family val="2"/>
          </rPr>
          <t xml:space="preserve">
Not specified yet</t>
        </r>
      </text>
    </comment>
    <comment ref="F5" authorId="0" shapeId="0">
      <text>
        <r>
          <rPr>
            <b/>
            <sz val="9"/>
            <color indexed="81"/>
            <rFont val="Tahoma"/>
            <family val="2"/>
          </rPr>
          <t>James O Sullivan:</t>
        </r>
        <r>
          <rPr>
            <sz val="9"/>
            <color indexed="81"/>
            <rFont val="Tahoma"/>
            <family val="2"/>
          </rPr>
          <t xml:space="preserve">
Note: set to no by default, in general the majority of sensors will not move, however some may, in which case this should be overridden.
</t>
        </r>
      </text>
    </comment>
    <comment ref="K5" authorId="0" shapeId="0">
      <text>
        <r>
          <rPr>
            <b/>
            <sz val="9"/>
            <color indexed="81"/>
            <rFont val="Tahoma"/>
            <family val="2"/>
          </rPr>
          <t>James O Sullivan:</t>
        </r>
        <r>
          <rPr>
            <sz val="9"/>
            <color indexed="81"/>
            <rFont val="Tahoma"/>
            <family val="2"/>
          </rPr>
          <t xml:space="preserve">
</t>
        </r>
      </text>
    </comment>
    <comment ref="F9" authorId="0" shapeId="0">
      <text>
        <r>
          <rPr>
            <b/>
            <sz val="9"/>
            <color indexed="81"/>
            <rFont val="Tahoma"/>
            <family val="2"/>
          </rPr>
          <t xml:space="preserve">James O Sullivan:
</t>
        </r>
        <r>
          <rPr>
            <sz val="9"/>
            <color indexed="81"/>
            <rFont val="Tahoma"/>
            <family val="2"/>
          </rPr>
          <t>Generally this is going to be a stationary CPE</t>
        </r>
      </text>
    </comment>
    <comment ref="L22" authorId="0" shapeId="0">
      <text>
        <r>
          <rPr>
            <b/>
            <sz val="9"/>
            <color indexed="81"/>
            <rFont val="Tahoma"/>
            <family val="2"/>
          </rPr>
          <t>James O Sullivan:</t>
        </r>
        <r>
          <rPr>
            <sz val="9"/>
            <color indexed="81"/>
            <rFont val="Tahoma"/>
            <family val="2"/>
          </rPr>
          <t xml:space="preserve">
Dedicated train UE is typically going to be WLAN router serving consuming handsets, laptops, etc.</t>
        </r>
      </text>
    </comment>
  </commentList>
</comments>
</file>

<file path=xl/comments2.xml><?xml version="1.0" encoding="utf-8"?>
<comments xmlns="http://schemas.openxmlformats.org/spreadsheetml/2006/main">
  <authors>
    <author>James O Sullivan</author>
  </authors>
  <commentList>
    <comment ref="E46" authorId="0" shapeId="0">
      <text>
        <r>
          <rPr>
            <b/>
            <sz val="9"/>
            <color indexed="81"/>
            <rFont val="Tahoma"/>
            <family val="2"/>
          </rPr>
          <t>James O Sullivan:</t>
        </r>
        <r>
          <rPr>
            <sz val="9"/>
            <color indexed="81"/>
            <rFont val="Tahoma"/>
            <family val="2"/>
          </rPr>
          <t xml:space="preserve">
This is a digital camera with an integrated modem</t>
        </r>
      </text>
    </comment>
  </commentList>
</comments>
</file>

<file path=xl/comments3.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4.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5.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6.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7.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8.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9.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0.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1.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2.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3.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4.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5.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6.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7.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8.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comments19.xml><?xml version="1.0" encoding="utf-8"?>
<comments xmlns="http://schemas.openxmlformats.org/spreadsheetml/2006/main">
  <authors>
    <author>James O Sullivan</author>
  </authors>
  <commentList>
    <comment ref="E11" authorId="0" shapeId="0">
      <text>
        <r>
          <rPr>
            <b/>
            <sz val="9"/>
            <color indexed="81"/>
            <rFont val="Tahoma"/>
            <family val="2"/>
          </rPr>
          <t>James O Sullivan:</t>
        </r>
        <r>
          <rPr>
            <sz val="9"/>
            <color indexed="81"/>
            <rFont val="Tahoma"/>
            <family val="2"/>
          </rPr>
          <t xml:space="preserve">
Needs to be derived 
by some means, e.g. lasso a polygon on the UI to derive result,  enter a set of region/city/suburb names and leverage GIS to derive result, etc.</t>
        </r>
      </text>
    </comment>
    <comment ref="E16" authorId="0" shapeId="0">
      <text>
        <r>
          <rPr>
            <b/>
            <sz val="9"/>
            <color indexed="81"/>
            <rFont val="Tahoma"/>
            <family val="2"/>
          </rPr>
          <t>James O Sullivan:</t>
        </r>
        <r>
          <rPr>
            <sz val="9"/>
            <color indexed="81"/>
            <rFont val="Tahoma"/>
            <family val="2"/>
          </rPr>
          <t xml:space="preserve">
if blank there is no current plan to deactivate this service</t>
        </r>
      </text>
    </comment>
    <comment ref="D23" authorId="0" shapeId="0">
      <text>
        <r>
          <rPr>
            <b/>
            <sz val="9"/>
            <color indexed="81"/>
            <rFont val="Tahoma"/>
            <family val="2"/>
          </rPr>
          <t>James O Sullivan:</t>
        </r>
        <r>
          <rPr>
            <sz val="9"/>
            <color indexed="81"/>
            <rFont val="Tahoma"/>
            <family val="2"/>
          </rPr>
          <t xml:space="preserve">
This list represents the device types that will be allowed to run within a given network slice.   Thought needs to be put into "protecting" the slice (or at least the more critical ones) ensuring only appropriate devices are allowed to connect - the more open the network slice is left the more potential issues may occur.   White list and black list concepts could be one way of doing this?
This is the mechanism to inform the core network what to do here.</t>
        </r>
      </text>
    </comment>
    <comment ref="E23" authorId="0" shapeId="0">
      <text>
        <r>
          <rPr>
            <b/>
            <sz val="9"/>
            <color indexed="81"/>
            <rFont val="Tahoma"/>
            <family val="2"/>
          </rPr>
          <t>James O Sullivan:</t>
        </r>
        <r>
          <rPr>
            <sz val="9"/>
            <color indexed="81"/>
            <rFont val="Tahoma"/>
            <family val="2"/>
          </rPr>
          <t xml:space="preserve">
List of IMEITACs
It’s a suggestion, other approaches could be used.</t>
        </r>
      </text>
    </comment>
    <comment ref="D24" authorId="0" shapeId="0">
      <text>
        <r>
          <rPr>
            <b/>
            <sz val="9"/>
            <color indexed="81"/>
            <rFont val="Tahoma"/>
            <family val="2"/>
          </rPr>
          <t>James O Sullivan:</t>
        </r>
        <r>
          <rPr>
            <sz val="9"/>
            <color indexed="81"/>
            <rFont val="Tahoma"/>
            <family val="2"/>
          </rPr>
          <t xml:space="preserve">
Needs to be used in the assessment of whether or not the network can facilitate the bands the device supports</t>
        </r>
      </text>
    </comment>
    <comment ref="Y68" authorId="0" shapeId="0">
      <text>
        <r>
          <rPr>
            <b/>
            <sz val="9"/>
            <color indexed="81"/>
            <rFont val="Tahoma"/>
            <family val="2"/>
          </rPr>
          <t>James O Sullivan:</t>
        </r>
        <r>
          <rPr>
            <sz val="9"/>
            <color indexed="81"/>
            <rFont val="Tahoma"/>
            <family val="2"/>
          </rPr>
          <t xml:space="preserve">
Has to be  calculated based on Location inputs provided.   If the customer draws a polygon as part of the input then the area of the polygon should be drawn.
</t>
        </r>
      </text>
    </comment>
    <comment ref="Q69" authorId="0" shapeId="0">
      <text>
        <r>
          <rPr>
            <b/>
            <sz val="9"/>
            <color indexed="81"/>
            <rFont val="Tahoma"/>
            <family val="2"/>
          </rPr>
          <t xml:space="preserve">James O Sullivan
</t>
        </r>
        <r>
          <rPr>
            <sz val="9"/>
            <color indexed="81"/>
            <rFont val="Tahoma"/>
            <family val="2"/>
          </rPr>
          <t>Blank if there is no planned expiration.</t>
        </r>
      </text>
    </comment>
    <comment ref="Z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AE70" authorId="0" shapeId="0">
      <text>
        <r>
          <rPr>
            <b/>
            <sz val="9"/>
            <color indexed="81"/>
            <rFont val="Tahoma"/>
            <family val="2"/>
          </rPr>
          <t>James O Sullivan:</t>
        </r>
        <r>
          <rPr>
            <sz val="9"/>
            <color indexed="81"/>
            <rFont val="Tahoma"/>
            <family val="2"/>
          </rPr>
          <t xml:space="preserve">
MC PTT doesn’t have throughput requirement,the data transfer is small, priority is highest to ensure the scheduler treats it  the important factors are latency and packet loss
</t>
        </r>
      </text>
    </comment>
    <comment ref="Q71" authorId="0" shapeId="0">
      <text>
        <r>
          <rPr>
            <b/>
            <sz val="9"/>
            <color indexed="81"/>
            <rFont val="Tahoma"/>
            <family val="2"/>
          </rPr>
          <t xml:space="preserve">James O Sullivan
</t>
        </r>
        <r>
          <rPr>
            <sz val="9"/>
            <color indexed="81"/>
            <rFont val="Tahoma"/>
            <family val="2"/>
          </rPr>
          <t>Blank if there is no planned expiration.</t>
        </r>
      </text>
    </comment>
    <comment ref="Q72" authorId="0" shapeId="0">
      <text>
        <r>
          <rPr>
            <b/>
            <sz val="9"/>
            <color indexed="81"/>
            <rFont val="Tahoma"/>
            <family val="2"/>
          </rPr>
          <t xml:space="preserve">James O Sullivan
</t>
        </r>
        <r>
          <rPr>
            <sz val="9"/>
            <color indexed="81"/>
            <rFont val="Tahoma"/>
            <family val="2"/>
          </rPr>
          <t>Blank if there is no planned expiration.</t>
        </r>
      </text>
    </comment>
    <comment ref="Q73" authorId="0" shapeId="0">
      <text>
        <r>
          <rPr>
            <b/>
            <sz val="9"/>
            <color indexed="81"/>
            <rFont val="Tahoma"/>
            <family val="2"/>
          </rPr>
          <t xml:space="preserve">James O Sullivan
</t>
        </r>
        <r>
          <rPr>
            <sz val="9"/>
            <color indexed="81"/>
            <rFont val="Tahoma"/>
            <family val="2"/>
          </rPr>
          <t>Blank if there is no planned expiration.</t>
        </r>
      </text>
    </comment>
    <comment ref="Q74" authorId="0" shapeId="0">
      <text>
        <r>
          <rPr>
            <b/>
            <sz val="9"/>
            <color indexed="81"/>
            <rFont val="Tahoma"/>
            <family val="2"/>
          </rPr>
          <t xml:space="preserve">James O Sullivan
</t>
        </r>
        <r>
          <rPr>
            <sz val="9"/>
            <color indexed="81"/>
            <rFont val="Tahoma"/>
            <family val="2"/>
          </rPr>
          <t>Blank if there is no planned expiration.</t>
        </r>
      </text>
    </comment>
    <comment ref="Q75" authorId="0" shapeId="0">
      <text>
        <r>
          <rPr>
            <b/>
            <sz val="9"/>
            <color indexed="81"/>
            <rFont val="Tahoma"/>
            <family val="2"/>
          </rPr>
          <t xml:space="preserve">James O Sullivan
</t>
        </r>
        <r>
          <rPr>
            <sz val="9"/>
            <color indexed="81"/>
            <rFont val="Tahoma"/>
            <family val="2"/>
          </rPr>
          <t>Blank if there is no planned expiration.</t>
        </r>
      </text>
    </comment>
    <comment ref="Q76" authorId="0" shapeId="0">
      <text>
        <r>
          <rPr>
            <b/>
            <sz val="9"/>
            <color indexed="81"/>
            <rFont val="Tahoma"/>
            <family val="2"/>
          </rPr>
          <t xml:space="preserve">James O Sullivan
</t>
        </r>
        <r>
          <rPr>
            <sz val="9"/>
            <color indexed="81"/>
            <rFont val="Tahoma"/>
            <family val="2"/>
          </rPr>
          <t>Blank if there is no planned expiration.</t>
        </r>
      </text>
    </comment>
  </commentList>
</comments>
</file>

<file path=xl/sharedStrings.xml><?xml version="1.0" encoding="utf-8"?>
<sst xmlns="http://schemas.openxmlformats.org/spreadsheetml/2006/main" count="6572" uniqueCount="596">
  <si>
    <t>Location scope</t>
  </si>
  <si>
    <t>National</t>
  </si>
  <si>
    <t>Rivarolo Ligure</t>
  </si>
  <si>
    <t>Local outdoor</t>
  </si>
  <si>
    <t>Genoa</t>
  </si>
  <si>
    <t>Yes</t>
  </si>
  <si>
    <t>No</t>
  </si>
  <si>
    <t>Service Family</t>
  </si>
  <si>
    <t xml:space="preserve">Mobile video surveillance </t>
  </si>
  <si>
    <t>Massive IOT</t>
  </si>
  <si>
    <t xml:space="preserve">Smart wearables </t>
  </si>
  <si>
    <t>Sensor networks</t>
  </si>
  <si>
    <t xml:space="preserve"> Massive IOT</t>
  </si>
  <si>
    <t>Pervasive video</t>
  </si>
  <si>
    <t xml:space="preserve">Operator cloud services </t>
  </si>
  <si>
    <t>Dense urban society</t>
  </si>
  <si>
    <t>High density MBB</t>
  </si>
  <si>
    <t>Smart office</t>
  </si>
  <si>
    <t>HD video/photo sharing in stadium /open-air gathering</t>
  </si>
  <si>
    <t>50+ Mbps everywhere</t>
  </si>
  <si>
    <t>Low density low cost MBB</t>
  </si>
  <si>
    <t>Ultra-low cost networks</t>
  </si>
  <si>
    <t>Tactile internet</t>
  </si>
  <si>
    <t>Real time communications</t>
  </si>
  <si>
    <t>Service Category</t>
  </si>
  <si>
    <t xml:space="preserve">Automatic traffic control/driving </t>
  </si>
  <si>
    <t xml:space="preserve"> Collaborative robots </t>
  </si>
  <si>
    <t>Remote object manipulation – Remote surgery</t>
  </si>
  <si>
    <t>Reliable communications</t>
  </si>
  <si>
    <t>Modem</t>
  </si>
  <si>
    <t>eHealth: Extreme Life Critical</t>
  </si>
  <si>
    <t xml:space="preserve">Public safety </t>
  </si>
  <si>
    <t>3D Connectivity: Drones</t>
  </si>
  <si>
    <t>Smartphone</t>
  </si>
  <si>
    <t xml:space="preserve">High speed train </t>
  </si>
  <si>
    <t xml:space="preserve">Moving Hot Spots </t>
  </si>
  <si>
    <t>Remote computing</t>
  </si>
  <si>
    <t>High velocity MBB</t>
  </si>
  <si>
    <t>WLAN Router</t>
  </si>
  <si>
    <t>3D Connectivity: Aircrafts</t>
  </si>
  <si>
    <t>News and information</t>
  </si>
  <si>
    <t xml:space="preserve"> Broadcast like services: Local, Regional, National</t>
  </si>
  <si>
    <t xml:space="preserve">Broadcast </t>
  </si>
  <si>
    <t>IOT Device</t>
  </si>
  <si>
    <t>Wearable</t>
  </si>
  <si>
    <t>Dongle</t>
  </si>
  <si>
    <t>These categorisations are per NGMN.</t>
  </si>
  <si>
    <t>Candidate Device Designation Type</t>
  </si>
  <si>
    <t>The device "designation type" is from GSMA IMEI TAC</t>
  </si>
  <si>
    <t>Device Designation Type (per GSMA IMEI TAC DB)</t>
  </si>
  <si>
    <t>Feature Phone</t>
  </si>
  <si>
    <t>Tablet</t>
  </si>
  <si>
    <t>IoT Device</t>
  </si>
  <si>
    <t>Comment</t>
  </si>
  <si>
    <t>Manufacturer</t>
  </si>
  <si>
    <t>Model</t>
  </si>
  <si>
    <t>X</t>
  </si>
  <si>
    <t>Device which can be inserted in A laptop or other computer to provide cellular network connectivity</t>
  </si>
  <si>
    <t>A device that performs advanced routing functionalities and uses the cellular network as Wide Area Network interface.</t>
  </si>
  <si>
    <t>A device designed for embedding in other equipment to provide cellular connection functionality</t>
  </si>
  <si>
    <t>A device, whose main function is to allow objects to be accessed,
sensed and/or controlled remotely across existing mobile network infrastructures.</t>
  </si>
  <si>
    <t xml:space="preserve"> A body worn mobile device that connects to the 3GPP cellular network
directly with its own eUICC or UICC.
It addition it may have none, some or all of the following:
1. A touch screen display
2. Other forms of interaction such as hard or soft buttons
3. Voice controls
4. Sensors built in or connected to the device
5. An OS, which provides voice and/or data communications capabilities on the 3GPP mobile network
6. Other technologies like Wi-Fi, Bluetooth
7. Enables personalization of the device by the user
8. Supports installation and maintenance of applications, e.g. downloadable
content from an application store.
Examples of a “Wearable” devices:
1. Smartwatch
2. Heart Monitor
3. Blood Pressure Monitor
4. Blood Pulse monitor
5. Animal Monitoring
6. Body (Arm, Leg, Chest) Sports Monitor</t>
  </si>
  <si>
    <t>A device supporting basic personal communication services, e.g. voice
call and SMS. (Not strictly limited to basic services, but not entering in the definition of
a Smartphone).</t>
  </si>
  <si>
    <t>A device with large display, predominantly with touch screen technology, fast processor and memory in the GB range. A fully-featured OS / platform that provides voice and data communications capabilities, enables
personalisation of the device by the user and in addition supports installation and maintenance of mobile applications (e.g. downloadable from an Application store).</t>
  </si>
  <si>
    <t>A device with a display minimum 5-inches, slate-type form factor, touch screen, providing data communications and/or voice capabilities, fully-featured OS providing connection to an Application store through which the user can personalise the device’s functionality and services</t>
  </si>
  <si>
    <t>See next page</t>
  </si>
  <si>
    <t>Unknown</t>
  </si>
  <si>
    <t xml:space="preserve">All devices can be categorised as one of the following types.  If a user selects a specific video camera model(s), then a given type (or set of types) is selected.   With this the IMEIDB could be used to derive all of the technical information about the device, e.g. frequency support, packet size, carrier aggregation support, etc.   Using this approach the technical parameters can remain hidden to those who do not need to know them.       </t>
  </si>
  <si>
    <t>The service families all have performance requirements</t>
  </si>
  <si>
    <t>per NGMN.  By selecting a service category the user can implicitly</t>
  </si>
  <si>
    <t>select the performance criteria for the underlying network slice.</t>
  </si>
  <si>
    <t>Technical experts may always want to override or customise</t>
  </si>
  <si>
    <t>some setting.</t>
  </si>
  <si>
    <t>Specifically, many projects have occurred where high level BSS systems have been "conversing" in network slice terminology.   This is wrong.</t>
  </si>
  <si>
    <t xml:space="preserve">BSS should focus on the products to be sold,  OSS should focus on the services to support those products, and map those to services to network </t>
  </si>
  <si>
    <t>requirements.</t>
  </si>
  <si>
    <t xml:space="preserve">All components contribute some of the inputs needed to specify the network requirements, they build on each other.   </t>
  </si>
  <si>
    <t>See following tabs…</t>
  </si>
  <si>
    <t>1.2G</t>
  </si>
  <si>
    <t>100G</t>
  </si>
  <si>
    <t>600M</t>
  </si>
  <si>
    <t>50G</t>
  </si>
  <si>
    <t>5G</t>
  </si>
  <si>
    <t>20G</t>
  </si>
  <si>
    <t>2.5G</t>
  </si>
  <si>
    <t>10G</t>
  </si>
  <si>
    <t>2T</t>
  </si>
  <si>
    <t>750G</t>
  </si>
  <si>
    <t>125G</t>
  </si>
  <si>
    <t>E2E Latency (ms)</t>
  </si>
  <si>
    <t>Broadband access in dense area</t>
  </si>
  <si>
    <t>User Downlink Throughput (bps)</t>
  </si>
  <si>
    <t>User Uplink Throughput (bps)</t>
  </si>
  <si>
    <t xml:space="preserve">Mobility </t>
  </si>
  <si>
    <t>Max Mobility (km/h)</t>
  </si>
  <si>
    <t>Indoor high density MBB</t>
  </si>
  <si>
    <t>15T</t>
  </si>
  <si>
    <t>Downlink(bps/sq km)</t>
  </si>
  <si>
    <t>Uplink (bps/sq km)</t>
  </si>
  <si>
    <t>Crowd high density MBB</t>
  </si>
  <si>
    <t>3.75T</t>
  </si>
  <si>
    <t>7.5T</t>
  </si>
  <si>
    <t>50+ Mbps rural</t>
  </si>
  <si>
    <t>50+ Mbps suburban</t>
  </si>
  <si>
    <t>Ultra-low cost network</t>
  </si>
  <si>
    <t>Max connection density (UE/sq km)</t>
  </si>
  <si>
    <t>16M</t>
  </si>
  <si>
    <t>High speed train</t>
  </si>
  <si>
    <t>Resilience and traffic surge</t>
  </si>
  <si>
    <t>Lifeline communications</t>
  </si>
  <si>
    <t>Ultra reliable, low latency</t>
  </si>
  <si>
    <t>High availability, ultra reliable</t>
  </si>
  <si>
    <t>Broadcast services</t>
  </si>
  <si>
    <t>Use Case Type</t>
  </si>
  <si>
    <t>High user mobility broadband</t>
  </si>
  <si>
    <t>IMEITACSV</t>
  </si>
  <si>
    <t>Brand Name</t>
  </si>
  <si>
    <t>Marketing Name and Model Name</t>
  </si>
  <si>
    <t>Designation Type</t>
  </si>
  <si>
    <t>Allocation Date</t>
  </si>
  <si>
    <t>Operating System</t>
  </si>
  <si>
    <t>Support for NFC</t>
  </si>
  <si>
    <t>Support for Bluetooth</t>
  </si>
  <si>
    <t>Support for WLAN</t>
  </si>
  <si>
    <t>DeviceType</t>
  </si>
  <si>
    <t>Connectivity Purpose</t>
  </si>
  <si>
    <t>Access public internet</t>
  </si>
  <si>
    <t>Access public cloud applications</t>
  </si>
  <si>
    <t>Access private backoffice applications</t>
  </si>
  <si>
    <t>Emergency Push to Talk Voice</t>
  </si>
  <si>
    <t>Smart office solution</t>
  </si>
  <si>
    <t>Stream video (public)</t>
  </si>
  <si>
    <t>Stream video (private)</t>
  </si>
  <si>
    <t>Stream video and audio (public)</t>
  </si>
  <si>
    <t>Stream audio (public)</t>
  </si>
  <si>
    <t>Stream audio (private)</t>
  </si>
  <si>
    <t>Stream video and audio (private)</t>
  </si>
  <si>
    <t>Location Scope</t>
  </si>
  <si>
    <t>Local indoor</t>
  </si>
  <si>
    <t>Regional</t>
  </si>
  <si>
    <t>Location</t>
  </si>
  <si>
    <t>WHERE</t>
  </si>
  <si>
    <t>WHEN</t>
  </si>
  <si>
    <t xml:space="preserve">Collaborative robots </t>
  </si>
  <si>
    <t>Broadcast like services: Local, Regional, National</t>
  </si>
  <si>
    <t>Connectivity via mobile hotspots</t>
  </si>
  <si>
    <t>Connectivity on airplanes</t>
  </si>
  <si>
    <t>Connectivity on trains</t>
  </si>
  <si>
    <t xml:space="preserve">Low cost connectivity </t>
  </si>
  <si>
    <t>Connectivity for industrial robots</t>
  </si>
  <si>
    <t>Connectivity for special event (large crowds)</t>
  </si>
  <si>
    <t>Video surveillance</t>
  </si>
  <si>
    <t>Derived field</t>
  </si>
  <si>
    <t>Apple Inc</t>
  </si>
  <si>
    <t>Apple</t>
  </si>
  <si>
    <t>CDMA2000</t>
  </si>
  <si>
    <t>Y</t>
  </si>
  <si>
    <t>iOS</t>
  </si>
  <si>
    <t>International</t>
  </si>
  <si>
    <t>Country</t>
  </si>
  <si>
    <t>Italy</t>
  </si>
  <si>
    <t>Germany</t>
  </si>
  <si>
    <t>Belgium</t>
  </si>
  <si>
    <t>France</t>
  </si>
  <si>
    <t>Ireland</t>
  </si>
  <si>
    <t>UK</t>
  </si>
  <si>
    <t>Poland</t>
  </si>
  <si>
    <t>Spain</t>
  </si>
  <si>
    <t>Portugal</t>
  </si>
  <si>
    <t>Greece</t>
  </si>
  <si>
    <t>Finland</t>
  </si>
  <si>
    <t>Sweden</t>
  </si>
  <si>
    <t>Denmark</t>
  </si>
  <si>
    <t>Norway</t>
  </si>
  <si>
    <t>Apple iPhone 6 (A1543)</t>
  </si>
  <si>
    <t>Apple iPhone6+ (A1522)</t>
  </si>
  <si>
    <t>.</t>
  </si>
  <si>
    <t>Apple iPad Pro 12.9 (A2014)</t>
  </si>
  <si>
    <t>Apple iPad Pro 11 (A2013)</t>
  </si>
  <si>
    <t>Samsung</t>
  </si>
  <si>
    <t>Samsung GT-I9250</t>
  </si>
  <si>
    <t>Android</t>
  </si>
  <si>
    <t>Samsung TabE SM-T5613474</t>
  </si>
  <si>
    <t>Samsung Galaxy-nx-gn120zka</t>
  </si>
  <si>
    <t>Samsung Electronics</t>
  </si>
  <si>
    <t>NR SDL[A 8] BAND n75(1500)</t>
  </si>
  <si>
    <t>NR SDL[A 8] BAND n76(1500)</t>
  </si>
  <si>
    <t>NR SUL[A 9] BAND n80(1800)</t>
  </si>
  <si>
    <t>NR SUL[A 9] BAND n81(900)</t>
  </si>
  <si>
    <t>NR SUL[A 9] BAND n82(800)</t>
  </si>
  <si>
    <t>NR SUL[A 9] BAND n83(700)</t>
  </si>
  <si>
    <t>NR SUL[A 9] BAND n84(1900)</t>
  </si>
  <si>
    <t>NR SUL[A 9] BAND n86(1700)</t>
  </si>
  <si>
    <t>Smartphone,Tablet</t>
  </si>
  <si>
    <t>SONIM</t>
  </si>
  <si>
    <t>TELO</t>
  </si>
  <si>
    <t>HUAWEI</t>
  </si>
  <si>
    <t>5G CPE sub6GHz</t>
  </si>
  <si>
    <t>N</t>
  </si>
  <si>
    <t>Hytera VM685</t>
  </si>
  <si>
    <t>Mission Critical  Support</t>
  </si>
  <si>
    <t>Multicast</t>
  </si>
  <si>
    <t xml:space="preserve">Group Communication </t>
  </si>
  <si>
    <t xml:space="preserve">MMTel </t>
  </si>
  <si>
    <t>Energy Efficiency</t>
  </si>
  <si>
    <t>PSM</t>
  </si>
  <si>
    <t>DRX</t>
  </si>
  <si>
    <t>V2X</t>
  </si>
  <si>
    <t>Reliability</t>
  </si>
  <si>
    <t>Session and service continuity support</t>
  </si>
  <si>
    <t>SSC1</t>
  </si>
  <si>
    <t>SSC3</t>
  </si>
  <si>
    <t>SSC2</t>
  </si>
  <si>
    <t>None</t>
  </si>
  <si>
    <t>Support for non-IP Traffic</t>
  </si>
  <si>
    <t>MMTel support</t>
  </si>
  <si>
    <t>Energy efficiency</t>
  </si>
  <si>
    <t>V2X support</t>
  </si>
  <si>
    <t>Introduction</t>
  </si>
  <si>
    <t xml:space="preserve"> Industry approaches around slice management up to now have been putting unnecessary technical details at the top of the management stack.</t>
  </si>
  <si>
    <t>To give network slicing a chance to be successful we need to stick to these principles</t>
  </si>
  <si>
    <t>Traffic and Service Profiles</t>
  </si>
  <si>
    <t>This lists all the service categories (and their respective families) defined by NGMN and maps them to default network and service settings</t>
  </si>
  <si>
    <t>IMEI TAC Database</t>
  </si>
  <si>
    <t>Country Frequency Mappings</t>
  </si>
  <si>
    <t>More definitive/complete information would come from ITU/GSA organisations</t>
  </si>
  <si>
    <t>This portrays a view of what is provided by the GSMA IMEI TAC database.   All devices created by manufacturers are registered with GSMA and categorised under several capability/function criteria.</t>
  </si>
  <si>
    <t>Device Types</t>
  </si>
  <si>
    <t>This sheet shows metadata for the IMEI TAC database.  All devices registered with GSMA must be assigned a "designation type", e.g. Smartphone, Modem, etc.    Older devices may not have a designation</t>
  </si>
  <si>
    <t>in which case they will be designation "Unknown".   Manufacturer can retrospectively update older models to change from "Unknown" to "Feature phone", for example, but many have not.</t>
  </si>
  <si>
    <t>ServiceCat to Device Mapping</t>
  </si>
  <si>
    <t>This sheet shows the types of device that are relevant for specific service categories.</t>
  </si>
  <si>
    <t>Unknown, for older devices that have a TAC typically it’s a feature phone or M2M device whose records have not been retrospectively updated once this field was introduced into the GSMA TAC database</t>
  </si>
  <si>
    <t>Max Traffic Density</t>
  </si>
  <si>
    <t>Conduct remote surgery</t>
  </si>
  <si>
    <t>Collect wearable sensor data</t>
  </si>
  <si>
    <t>Gaming</t>
  </si>
  <si>
    <t>VR/AR application</t>
  </si>
  <si>
    <t>Collect Smartcity sensor data</t>
  </si>
  <si>
    <t>Monitor an Emergency Response</t>
  </si>
  <si>
    <t>Connect offices</t>
  </si>
  <si>
    <t>This attempts to model the collection process for parameter gathering (in order to create a slice)</t>
  </si>
  <si>
    <t>METOS</t>
  </si>
  <si>
    <t>iMETOS IMT300</t>
  </si>
  <si>
    <t>iMETOS 3.3</t>
  </si>
  <si>
    <t>Hytera</t>
  </si>
  <si>
    <t>Telo Systems</t>
  </si>
  <si>
    <t xml:space="preserve">Huawei 5G Mobile WiFi </t>
  </si>
  <si>
    <t>XP8</t>
  </si>
  <si>
    <t>TE590</t>
  </si>
  <si>
    <t>RAE</t>
  </si>
  <si>
    <t xml:space="preserve"> ToxiRAE Pro Wireless </t>
  </si>
  <si>
    <t>RAE Systems</t>
  </si>
  <si>
    <t>Slice parameter population</t>
  </si>
  <si>
    <t>Customer Name/Reference</t>
  </si>
  <si>
    <t>WHO</t>
  </si>
  <si>
    <t>WHAT</t>
  </si>
  <si>
    <t>Area (Sq/km)</t>
  </si>
  <si>
    <t>Rome</t>
  </si>
  <si>
    <t>Milan</t>
  </si>
  <si>
    <t>Naples</t>
  </si>
  <si>
    <t>Area size (sq km)</t>
  </si>
  <si>
    <t>Service activation date</t>
  </si>
  <si>
    <t>Service expiration date</t>
  </si>
  <si>
    <t>Use case type</t>
  </si>
  <si>
    <t>TRAFFIC PROFILE</t>
  </si>
  <si>
    <t>Downlink User Throughput (bps/UE)</t>
  </si>
  <si>
    <t>Uplink User Throughput (bps/UE)</t>
  </si>
  <si>
    <t>e2e Latency (ms)</t>
  </si>
  <si>
    <t>Connection density (UE/sq km)</t>
  </si>
  <si>
    <t>Downlink traffic density(Mbps/UE/sq km)</t>
  </si>
  <si>
    <t>Uplink traffic density(Mbps/UE/sq km)</t>
  </si>
  <si>
    <t>DEVICE PROFILE</t>
  </si>
  <si>
    <t>Available cellular frequency bands</t>
  </si>
  <si>
    <t>-</t>
  </si>
  <si>
    <t>Synchronicity</t>
  </si>
  <si>
    <t>Area</t>
  </si>
  <si>
    <t>&lt;geopolygon&gt;</t>
  </si>
  <si>
    <t>Mission critical support</t>
  </si>
  <si>
    <t>Positioning support</t>
  </si>
  <si>
    <t>Slice QOS</t>
  </si>
  <si>
    <t>Delay Tolerance</t>
  </si>
  <si>
    <t>Isolation Level</t>
  </si>
  <si>
    <t>Logical isolation</t>
  </si>
  <si>
    <t>Physical isolation</t>
  </si>
  <si>
    <t>No isolation</t>
  </si>
  <si>
    <t>LBS support</t>
  </si>
  <si>
    <t>Number of terminals</t>
  </si>
  <si>
    <t>Mission Critical capability</t>
  </si>
  <si>
    <t>Pre-emption</t>
  </si>
  <si>
    <t>Number of connections</t>
  </si>
  <si>
    <t>Simultaneous Slice Support</t>
  </si>
  <si>
    <t>Same SST</t>
  </si>
  <si>
    <t>No share</t>
  </si>
  <si>
    <t>Same SST SD</t>
  </si>
  <si>
    <t>Deterministic Comms Support</t>
  </si>
  <si>
    <t>Deterministic Comms Periodicity (seconds)</t>
  </si>
  <si>
    <t>MOBILITY PROFILE</t>
  </si>
  <si>
    <t>V2X PROFILE</t>
  </si>
  <si>
    <t>Mobility support</t>
  </si>
  <si>
    <t>V2X mode</t>
  </si>
  <si>
    <t>NR_E-UTRA</t>
  </si>
  <si>
    <t>Automatic traffic control</t>
  </si>
  <si>
    <t>Automatic driving</t>
  </si>
  <si>
    <t>Max UE Velocity (km/h)</t>
  </si>
  <si>
    <t>Simultaneous slice operation</t>
  </si>
  <si>
    <t>Deterministic comms support</t>
  </si>
  <si>
    <t>Output</t>
  </si>
  <si>
    <t>Whats driving the connectivity requirement ?</t>
  </si>
  <si>
    <t>Device type white list</t>
  </si>
  <si>
    <t>35305519, 35305520</t>
  </si>
  <si>
    <t>First Reponse Unit Italy</t>
  </si>
  <si>
    <t>Device discrimination policy</t>
  </si>
  <si>
    <t>SST</t>
  </si>
  <si>
    <t>eMBB</t>
  </si>
  <si>
    <t>mIOT</t>
  </si>
  <si>
    <t>uRLLC</t>
  </si>
  <si>
    <t>UE POSITIONING PROFILE</t>
  </si>
  <si>
    <t>Positioning Method</t>
  </si>
  <si>
    <t>UE Positioning Methods</t>
  </si>
  <si>
    <t>CID</t>
  </si>
  <si>
    <t>OTDOA</t>
  </si>
  <si>
    <t>E-CID</t>
  </si>
  <si>
    <t>RF fingerprinting</t>
  </si>
  <si>
    <t>AECID</t>
  </si>
  <si>
    <t>Hybrid positioning</t>
  </si>
  <si>
    <t>NET-RTK</t>
  </si>
  <si>
    <t>Positioning Accuracy(m)</t>
  </si>
  <si>
    <t>Positioning Report Frequency (min)</t>
  </si>
  <si>
    <t>DETERMINISTIC COMMS PROFILE</t>
  </si>
  <si>
    <t>Service/Slice Type(SST)</t>
  </si>
  <si>
    <t xml:space="preserve">Slice Differentiator </t>
  </si>
  <si>
    <t>Periodicity</t>
  </si>
  <si>
    <t>DL:UL traffic ratio</t>
  </si>
  <si>
    <t>Deterministic Comms DL:UL traffic ratio</t>
  </si>
  <si>
    <t>Customize</t>
  </si>
  <si>
    <t>Method</t>
  </si>
  <si>
    <t>Accuracy(m)</t>
  </si>
  <si>
    <t>Periodicity(min)</t>
  </si>
  <si>
    <t>Input field</t>
  </si>
  <si>
    <t>Customisation (override) field</t>
  </si>
  <si>
    <t>G-450</t>
  </si>
  <si>
    <t>G-800</t>
  </si>
  <si>
    <t>G-850</t>
  </si>
  <si>
    <t>G-900</t>
  </si>
  <si>
    <t>G-1800</t>
  </si>
  <si>
    <t>G-1900</t>
  </si>
  <si>
    <t>W-1 (2100)</t>
  </si>
  <si>
    <t>W-2 (1900)</t>
  </si>
  <si>
    <t>W-3 (1800)</t>
  </si>
  <si>
    <t>W-4 (1700)</t>
  </si>
  <si>
    <t>W-5 (850)</t>
  </si>
  <si>
    <t>W-6 (800)</t>
  </si>
  <si>
    <t>W-7 (2600)</t>
  </si>
  <si>
    <t>W-8 (900)</t>
  </si>
  <si>
    <t>W-9 (1700)</t>
  </si>
  <si>
    <t>W-10 (1700)</t>
  </si>
  <si>
    <t>W-11 (1500)</t>
  </si>
  <si>
    <t>W-12 (700)</t>
  </si>
  <si>
    <t>W-13 (700)</t>
  </si>
  <si>
    <t>W-14 (700)</t>
  </si>
  <si>
    <t>W-19 (800)</t>
  </si>
  <si>
    <t>W-20 (800)</t>
  </si>
  <si>
    <t>W-21 (1500)</t>
  </si>
  <si>
    <t>W-22 (3500)</t>
  </si>
  <si>
    <t>W-25 (1900)</t>
  </si>
  <si>
    <t>W-26 (850)</t>
  </si>
  <si>
    <t>W-32 (1500)</t>
  </si>
  <si>
    <t>L SDL[A 11] BAND 252 (5200)</t>
  </si>
  <si>
    <t>L SDL[A 11] BAND 255 (5800)</t>
  </si>
  <si>
    <t>L SDL[A 11] BAND 29 (700)</t>
  </si>
  <si>
    <t>L SDL[A 11] BAND 32 (1500)</t>
  </si>
  <si>
    <t>L SDL[A 11] BAND 67 (700)</t>
  </si>
  <si>
    <t>L SDL[A 11] BAND 69 (2600)</t>
  </si>
  <si>
    <t>L SDL[A 11] BAND 75 (1500)</t>
  </si>
  <si>
    <t>L SDL[A 11] BAND 76 (1500)</t>
  </si>
  <si>
    <t>L-1 (2100)</t>
  </si>
  <si>
    <t>L-2 (1900)</t>
  </si>
  <si>
    <t>L-3 (1800)</t>
  </si>
  <si>
    <t>L-4 (1700)</t>
  </si>
  <si>
    <t>L-5 (850)</t>
  </si>
  <si>
    <t>L-7 (2600)</t>
  </si>
  <si>
    <t>L-8 (900)</t>
  </si>
  <si>
    <t>L-10 (1700)</t>
  </si>
  <si>
    <t>L-11 (1500)</t>
  </si>
  <si>
    <t>L-12 (700)</t>
  </si>
  <si>
    <t>L-13 (700)</t>
  </si>
  <si>
    <t>L-14 (700)</t>
  </si>
  <si>
    <t>L-17 (700)</t>
  </si>
  <si>
    <t>L-18 (850)</t>
  </si>
  <si>
    <t>L-19 (850)</t>
  </si>
  <si>
    <t>L-20 (800)</t>
  </si>
  <si>
    <t>L-21 (1500)</t>
  </si>
  <si>
    <t>L-22 (3500)</t>
  </si>
  <si>
    <t>L-24 (1600)</t>
  </si>
  <si>
    <t>L-25 (1900)</t>
  </si>
  <si>
    <t>L-26 (850)</t>
  </si>
  <si>
    <t>L-27 (800)</t>
  </si>
  <si>
    <t>L-28 (700)</t>
  </si>
  <si>
    <t>L-30 (2300)</t>
  </si>
  <si>
    <t>L-31 (450)</t>
  </si>
  <si>
    <t>L-33 (2100)</t>
  </si>
  <si>
    <t>L-34 (2100)</t>
  </si>
  <si>
    <t>L-35 (1900)</t>
  </si>
  <si>
    <t>L-36 (1900)</t>
  </si>
  <si>
    <t>L-37 (1900)</t>
  </si>
  <si>
    <t>L-38 (2600)</t>
  </si>
  <si>
    <t>L-39 (1900)</t>
  </si>
  <si>
    <t>L-40 (2300)</t>
  </si>
  <si>
    <t>L-41 (2500)</t>
  </si>
  <si>
    <t>L-42 (3500)</t>
  </si>
  <si>
    <t>L-43 (3700)</t>
  </si>
  <si>
    <t>L-44 (700)</t>
  </si>
  <si>
    <t>L-45 (1500)</t>
  </si>
  <si>
    <t>L-46 (5200)</t>
  </si>
  <si>
    <t>L-47 (5900)</t>
  </si>
  <si>
    <t>L-48 (3500)</t>
  </si>
  <si>
    <t>L-49 (3500)</t>
  </si>
  <si>
    <t>L-50 (1500)</t>
  </si>
  <si>
    <t>L-51 (1500)</t>
  </si>
  <si>
    <t>L-52 (3300)</t>
  </si>
  <si>
    <t>L-53 (2400)</t>
  </si>
  <si>
    <t>L-65 (2100)</t>
  </si>
  <si>
    <t>L-66 (1700)</t>
  </si>
  <si>
    <t>L-68 (700)</t>
  </si>
  <si>
    <t>L-70 (2000)</t>
  </si>
  <si>
    <t>L-71 (600)</t>
  </si>
  <si>
    <t>L-72 (450)</t>
  </si>
  <si>
    <t>L-73 (450)</t>
  </si>
  <si>
    <t>L-74 (1500)</t>
  </si>
  <si>
    <t>L-85 (700)</t>
  </si>
  <si>
    <t>NR-n1(2100)</t>
  </si>
  <si>
    <t>NR-n2(1900)</t>
  </si>
  <si>
    <t>NR-n3(1800)</t>
  </si>
  <si>
    <t>NR-n5(850)</t>
  </si>
  <si>
    <t>NR-n7(2600)</t>
  </si>
  <si>
    <t>NR-n8(900)</t>
  </si>
  <si>
    <t>NR-n12(700)</t>
  </si>
  <si>
    <t>NR-n20(800)</t>
  </si>
  <si>
    <t>NR-n25(1900)</t>
  </si>
  <si>
    <t>NR-n28(700)</t>
  </si>
  <si>
    <t>NR-n34(2100)</t>
  </si>
  <si>
    <t>NR-n38(2600)</t>
  </si>
  <si>
    <t>NR-n39(1900)</t>
  </si>
  <si>
    <t>NR-n40(2300)</t>
  </si>
  <si>
    <t>NR-n41(2500)</t>
  </si>
  <si>
    <t>NR-n50(1500)</t>
  </si>
  <si>
    <t>NR-n51(1500)</t>
  </si>
  <si>
    <t>NR-n65(2100)</t>
  </si>
  <si>
    <t>NR-n66(1700)</t>
  </si>
  <si>
    <t>NR-n70(2000)</t>
  </si>
  <si>
    <t>NR-n71(600)</t>
  </si>
  <si>
    <t>NR-n74(1500)</t>
  </si>
  <si>
    <t>NR-n77(3700)</t>
  </si>
  <si>
    <t>NR-n78(3500)</t>
  </si>
  <si>
    <t>NR-n79(4700)</t>
  </si>
  <si>
    <t>Frequency   Support</t>
  </si>
  <si>
    <t>LTE SDL[A 11]   252 (5200)</t>
  </si>
  <si>
    <t>LTE SDL[A 11]   255 (5800)</t>
  </si>
  <si>
    <t>LTE SDL[A 11]   29 (700)</t>
  </si>
  <si>
    <t>LTE SDL[A 11]   32 (1500)</t>
  </si>
  <si>
    <t>LTE SDL[A 11]   67 (700)</t>
  </si>
  <si>
    <t>LTE SDL[A 11]   69 (2600)</t>
  </si>
  <si>
    <t>LTE SDL[A 11]   75 (1500)</t>
  </si>
  <si>
    <t>LTE SDL[A 11]   76 (1500)</t>
  </si>
  <si>
    <t>NR SDL[A 8]   n75(1500)</t>
  </si>
  <si>
    <t>NR SDL[A 8]   n76(1500)</t>
  </si>
  <si>
    <t>NR SUL[A 9]   n80(1800)</t>
  </si>
  <si>
    <t>NR SUL[A 9]   n81(900)</t>
  </si>
  <si>
    <t>NR SUL[A 9]   n82(800)</t>
  </si>
  <si>
    <t>NR SUL[A 9]   n83(700)</t>
  </si>
  <si>
    <t>NR SUL[A 9]   n84(1900)</t>
  </si>
  <si>
    <t>NR SUL[A 9]   n86(1700)</t>
  </si>
  <si>
    <t>MISSION CRITICAL PROFILE</t>
  </si>
  <si>
    <t>Mission critical capabilities</t>
  </si>
  <si>
    <t>Group communication</t>
  </si>
  <si>
    <t>Broadcast/Multicast + SC-PTM</t>
  </si>
  <si>
    <t>BS-UE-UE</t>
  </si>
  <si>
    <t>65,67,69</t>
  </si>
  <si>
    <t>Description</t>
  </si>
  <si>
    <t>GSMA field</t>
  </si>
  <si>
    <t>Field</t>
  </si>
  <si>
    <t>Value</t>
  </si>
  <si>
    <t>3GPP SA5 has specified this in ServiceProfile under PerfReq as ueSpeed</t>
  </si>
  <si>
    <t>The maximum speed of a UE whilst connected, or connecting</t>
  </si>
  <si>
    <t>Indicates whether or not the the service requires positioning support</t>
  </si>
  <si>
    <t>Indicates whether or not the the service requires MMTel/IMS support</t>
  </si>
  <si>
    <t>This is informational.  If customer selects a given area, this would scope the frequency bands that are relevant in that area.  This  can be used as a feed-forward filter for device selection, i.e. only show devices that support frequency bands supported in a given area.</t>
  </si>
  <si>
    <t>Should be validated against max, and disallowed if too high.</t>
  </si>
  <si>
    <t>The frequency band support info is readily available from the network.</t>
  </si>
  <si>
    <t>Needs to be calculated by some means, e.g. user creates a polygon on the UI to derive result,  enter a set of region/city/suburb names/postcodes and leverage GIS to derive result, etc.</t>
  </si>
  <si>
    <t>Polygon of &lt;Lat,Long&gt; coordinates representing the area</t>
  </si>
  <si>
    <t>Scope of location</t>
  </si>
  <si>
    <t>Location name</t>
  </si>
  <si>
    <t>Number of terminals or UEs</t>
  </si>
  <si>
    <t>Number of connections.  If not populated,  assumed to be same as number of Ues</t>
  </si>
  <si>
    <t>Use case, per NGMN</t>
  </si>
  <si>
    <t>Connectivity requirement in plain text</t>
  </si>
  <si>
    <t>Customer name or reference</t>
  </si>
  <si>
    <t>3GPP SA5 has specified this in ServiceProfile as activityFactor</t>
  </si>
  <si>
    <t>Activity Factor</t>
  </si>
  <si>
    <t>Service/Slice Type</t>
  </si>
  <si>
    <t>Actual data should be profiled and compared against these guidelines - anomaly could point to inappropriate slice design, or even security issues.</t>
  </si>
  <si>
    <t>The MC capabilities that are supported</t>
  </si>
  <si>
    <t>Group communications support</t>
  </si>
  <si>
    <t>We put this under Mission Critical, assuming its group comms for MC services.  Not how its been documented by GSMA.   Needs to be discussed, maybe we are missing something</t>
  </si>
  <si>
    <t>Periodicity of comms, i.e. how often to expect data transfers</t>
  </si>
  <si>
    <t>3GPP SA5 has specified this in ServiceProfile as uEMobilityLevel. Stationary would mean no mobility.</t>
  </si>
  <si>
    <t>What access types are supported</t>
  </si>
  <si>
    <t>Positioning method or algorithm</t>
  </si>
  <si>
    <t>Periodicity of the positioning measurement</t>
  </si>
  <si>
    <t>Accuracy of the positioning measurement</t>
  </si>
  <si>
    <t>Does this service/slice require mobility, or not</t>
  </si>
  <si>
    <t>Are data transfers for this service/slice deterministic/predictable, or not</t>
  </si>
  <si>
    <t>Does this service/slice require V2X communications, or not</t>
  </si>
  <si>
    <t>Does the service require mission critical support, or not</t>
  </si>
  <si>
    <t>Can the service use shared slicing resources, or not, and if so which type</t>
  </si>
  <si>
    <t>The % of  time that devices are active, i.e. transferring data to/from the network</t>
  </si>
  <si>
    <t>Downlink throughput per UE</t>
  </si>
  <si>
    <t>Uplink throughput per UE</t>
  </si>
  <si>
    <t>Latency</t>
  </si>
  <si>
    <t>Downlink traffic density</t>
  </si>
  <si>
    <t>Uplink traffic density</t>
  </si>
  <si>
    <t>For this field we think natural language based search may work well if the customer has several dozen or hundreds of products</t>
  </si>
  <si>
    <t>There is no point in trying to create a network slice for devices that support frequencies which the underlying network does not support.   If know this info should be passed.  It also helps with proactive security management.</t>
  </si>
  <si>
    <t xml:space="preserve">Value of 1 means DL and UL traffic volumes are similar.   Note: not specified in GSMA GST today. </t>
  </si>
  <si>
    <t>Comments</t>
  </si>
  <si>
    <t>This list will grow over time</t>
  </si>
  <si>
    <t>For advanced users only, may be necessary for further scheduling priorisations within the network.</t>
  </si>
  <si>
    <t xml:space="preserve">Slice differentiator  </t>
  </si>
  <si>
    <t>3P Network and Application Functions</t>
  </si>
  <si>
    <t>Performance Monitoring</t>
  </si>
  <si>
    <t>COMMERCIAL PROFILE</t>
  </si>
  <si>
    <t>User Mgt Openness</t>
  </si>
  <si>
    <t>RCA</t>
  </si>
  <si>
    <t>Charging</t>
  </si>
  <si>
    <t>Passive</t>
  </si>
  <si>
    <t>CSPs may be unwilling to do this in the beginning, but if a lot of partner-based business relationships come out of slicing then we expect this will change.</t>
  </si>
  <si>
    <t>n/a</t>
  </si>
  <si>
    <t>Active</t>
  </si>
  <si>
    <t>Performance Prediction</t>
  </si>
  <si>
    <t>OPERATIONAL PROFILE</t>
  </si>
  <si>
    <t>This would entail opening up additional APIs and functions to nominated slice customer</t>
  </si>
  <si>
    <t xml:space="preserve">Provides network slice customer with the ability to manage users, and their service requirements. </t>
  </si>
  <si>
    <t>Should only be available to technical experts</t>
  </si>
  <si>
    <t>User Management Openness</t>
  </si>
  <si>
    <t>Unnecessary, predicted values of KPI and SLA metrics exposed in network slice API</t>
  </si>
  <si>
    <t>Unnecessary, current status of KPI and SLA metrics exposed in network slice API</t>
  </si>
  <si>
    <t>Are CDRs generated for traffic originated and terminated within this slice</t>
  </si>
  <si>
    <t>3rd party network and application functions</t>
  </si>
  <si>
    <t>3GPP SA5 has specified this in ServiceProfile under PerfReqUrllc as reliability</t>
  </si>
  <si>
    <t>SA5 3GPP has specified this in ServiceProfile, however unit is not clear.</t>
  </si>
  <si>
    <t>Addressed by 3GPP SA5  for uRLLC, not needed for the others.</t>
  </si>
  <si>
    <t>Addressed by 5QI</t>
  </si>
  <si>
    <t>Address by 5QI</t>
  </si>
  <si>
    <t>3GPP SA5 has specified this in ServiceProfile under PerfRefUrllc as e2eLatency.  Jitter is also included here.  Nothing available for other SSTs however.</t>
  </si>
  <si>
    <t xml:space="preserve">3GPP SA5 has specified these in ServicePrfile under PerfRefUrllc as </t>
  </si>
  <si>
    <t>Availability</t>
  </si>
  <si>
    <t>3GPP SA5 has specified this in ServiceProfile under PerfReqUrllc as csAvailability</t>
  </si>
  <si>
    <t>Support for non-IP traffic</t>
  </si>
  <si>
    <t>Session and service continuity</t>
  </si>
  <si>
    <t>Indicates whether or not provides non-IP (ethernet session and forwarding support) session support of communication devices</t>
  </si>
  <si>
    <t>Indicates which session and service continuity mode is needed</t>
  </si>
  <si>
    <t>3GPP SA5 has specified this in ServiceProfile under PerfReq as resourceSharingLevel, and in SliceProfile as resourceSharingLevel.  This look to be 1-dimensional, so the sharing scheme can't be very sophisticated.   Future need may be, for example, using SST + SD (Service Differentiator) as an additional dimension for grouping similar slice instances together for sharing purposes</t>
  </si>
  <si>
    <t>If UE issues a PDU SESSION ESTABLISHMENT REQUEST to establish a session of "Ethernet" or "Unstructured" PDU session type it should be supported by 5G.  We don't believe it needs to be called out as a parameter.</t>
  </si>
  <si>
    <t>The UE issues this within PDU SESSION ESTABLISHMENT REQUEST.   The mode may get set natively within the UE, or has to set via the application being used.   We don't believe it needs to be called out as a parameter.</t>
  </si>
  <si>
    <t>COMMON PROPERTIES</t>
  </si>
  <si>
    <t xml:space="preserve">Uplink throughput per network slice </t>
  </si>
  <si>
    <t>Network slice customer network functions</t>
  </si>
  <si>
    <t>Root Cause Investigation</t>
  </si>
  <si>
    <t>User management openness</t>
  </si>
  <si>
    <t>Radio Spectrum</t>
  </si>
  <si>
    <t>Simultaneous use of the network slice</t>
  </si>
  <si>
    <t xml:space="preserve">This is informational.    The relevance of asking about devices is: if a customer selects a device (or devices) these implicitly support a given set of frequency bands, and an assessment can be made on whether the underlying network can support the device. </t>
  </si>
  <si>
    <t>Slice quality of service parameters</t>
  </si>
  <si>
    <t>Supported device velocity</t>
  </si>
  <si>
    <r>
      <rPr>
        <sz val="7"/>
        <color theme="1"/>
        <rFont val="Calibri"/>
        <family val="2"/>
        <scheme val="minor"/>
      </rPr>
      <t xml:space="preserve"> </t>
    </r>
    <r>
      <rPr>
        <sz val="12"/>
        <color theme="1"/>
        <rFont val="Calibri"/>
        <family val="2"/>
        <scheme val="minor"/>
      </rPr>
      <t>Downlink throughput per UE</t>
    </r>
  </si>
  <si>
    <t>User data access</t>
  </si>
  <si>
    <t>Termination in private network</t>
  </si>
  <si>
    <t>Direct connection to internet</t>
  </si>
  <si>
    <t>Local traffic</t>
  </si>
  <si>
    <t>Indicates how the network slice should handle traffic to and from UE.  Drives tunneling and encapsulation protocols used.</t>
  </si>
  <si>
    <t>DATA ACCESS PROFILE</t>
  </si>
  <si>
    <t>Tunneling protocol</t>
  </si>
  <si>
    <t>Tunnelling support</t>
  </si>
  <si>
    <t>VPN</t>
  </si>
  <si>
    <t>GRE</t>
  </si>
  <si>
    <t xml:space="preserve">                                Frequency Band Support                                         Supported access technologies</t>
  </si>
  <si>
    <t>Coverage,        Terminal Density</t>
  </si>
  <si>
    <t>Actor synchronicity</t>
  </si>
  <si>
    <t>Not addressing in the first phase, realistically won't be automated on Day 0.  Suggest taking concrete example in later phase, starting with EPS/IMS.</t>
  </si>
  <si>
    <t>S-NESTS</t>
  </si>
  <si>
    <t>Access internet rural location</t>
  </si>
  <si>
    <t xml:space="preserve">The S-NESTs are populated template versions for different use case families.  Note they are not the definitive article, rather: they serve as templates for operators to create their own slice templates.  </t>
  </si>
  <si>
    <t>This list provides a view of what licensed radio frequency bands exist in each country.   This list used is for illustrative purposes only.</t>
  </si>
  <si>
    <t>The result of that registration procedure is manifest as a new entry within the IMEI TAC database.   Note: this is not definitive list, it is provided for illustrative purposes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</si>
</sst>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
    <numFmt numFmtId="165" formatCode="yyyy\-mm\-dd\ hh:mm:ss"/>
    <numFmt numFmtId="166" formatCode="0.0"/>
  </numFmts>
  <fonts count="43" x14ac:knownFonts="1">
    <font>
      <sz val="11"/>
      <color theme="1"/>
      <name val="Calibri"/>
      <family val="2"/>
      <scheme val="minor"/>
    </font>
    <font>
      <sz val="9"/>
      <color rgb="FF29313B"/>
      <name val="Calibri"/>
      <family val="2"/>
    </font>
    <font>
      <sz val="11"/>
      <color rgb="FF9C6500"/>
      <name val="Calibri"/>
      <family val="2"/>
      <scheme val="minor"/>
    </font>
    <font>
      <b/>
      <sz val="11"/>
      <color theme="0"/>
      <name val="Calibri"/>
      <family val="2"/>
      <scheme val="minor"/>
    </font>
    <font>
      <sz val="9"/>
      <color indexed="81"/>
      <name val="Tahoma"/>
      <family val="2"/>
    </font>
    <font>
      <b/>
      <sz val="9"/>
      <color indexed="81"/>
      <name val="Tahoma"/>
      <family val="2"/>
    </font>
    <font>
      <b/>
      <sz val="12"/>
      <color rgb="FFFFFFFF"/>
      <name val="Calibri"/>
      <family val="2"/>
    </font>
    <font>
      <sz val="12"/>
      <color rgb="FF29313B"/>
      <name val="Calibri"/>
      <family val="2"/>
    </font>
    <font>
      <sz val="12"/>
      <color theme="1"/>
      <name val="Calibri"/>
      <family val="2"/>
      <scheme val="minor"/>
    </font>
    <font>
      <u/>
      <sz val="11"/>
      <color rgb="FF9C6500"/>
      <name val="Calibri"/>
      <family val="2"/>
      <scheme val="minor"/>
    </font>
    <font>
      <sz val="10"/>
      <color rgb="FF29313B"/>
      <name val="Calibri"/>
      <family val="2"/>
      <scheme val="minor"/>
    </font>
    <font>
      <sz val="11"/>
      <color theme="1"/>
      <name val="Calibri"/>
      <family val="2"/>
      <scheme val="minor"/>
    </font>
    <font>
      <sz val="11"/>
      <color rgb="FF006100"/>
      <name val="Calibri"/>
      <family val="2"/>
      <scheme val="minor"/>
    </font>
    <font>
      <sz val="11"/>
      <color rgb="FF3F3F76"/>
      <name val="Calibri"/>
      <family val="2"/>
      <scheme val="minor"/>
    </font>
    <font>
      <i/>
      <sz val="11"/>
      <color rgb="FF7F7F7F"/>
      <name val="Calibri"/>
      <family val="2"/>
      <scheme val="minor"/>
    </font>
    <font>
      <b/>
      <sz val="11"/>
      <color theme="1"/>
      <name val="Calibri"/>
      <family val="2"/>
      <scheme val="minor"/>
    </font>
    <font>
      <sz val="20"/>
      <color rgb="FF333333"/>
      <name val="Courier New"/>
      <family val="3"/>
    </font>
    <font>
      <sz val="18"/>
      <color theme="0"/>
      <name val="Calibri"/>
      <family val="2"/>
      <scheme val="minor"/>
    </font>
    <font>
      <sz val="18"/>
      <color theme="1"/>
      <name val="Calibri"/>
      <family val="2"/>
      <scheme val="minor"/>
    </font>
    <font>
      <b/>
      <sz val="18"/>
      <color theme="1"/>
      <name val="Calibri"/>
      <family val="2"/>
      <scheme val="minor"/>
    </font>
    <font>
      <sz val="11"/>
      <color rgb="FF111111"/>
      <name val="Arial"/>
      <family val="2"/>
    </font>
    <font>
      <sz val="11"/>
      <color rgb="FF111111"/>
      <name val="Arial"/>
      <family val="2"/>
    </font>
    <font>
      <sz val="18"/>
      <color indexed="8"/>
      <name val="Calibri"/>
      <family val="2"/>
      <scheme val="minor"/>
    </font>
    <font>
      <sz val="18"/>
      <color rgb="FF29313B"/>
      <name val="Calibri"/>
      <family val="2"/>
    </font>
    <font>
      <sz val="14"/>
      <color theme="1"/>
      <name val="Calibri"/>
      <family val="2"/>
      <scheme val="minor"/>
    </font>
    <font>
      <b/>
      <sz val="14"/>
      <color theme="1"/>
      <name val="Calibri"/>
      <family val="2"/>
      <scheme val="minor"/>
    </font>
    <font>
      <sz val="16"/>
      <color theme="0"/>
      <name val="Calibri"/>
      <family val="2"/>
      <scheme val="minor"/>
    </font>
    <font>
      <i/>
      <sz val="11"/>
      <name val="Calibri"/>
      <family val="2"/>
      <scheme val="minor"/>
    </font>
    <font>
      <sz val="11"/>
      <name val="Calibri"/>
      <family val="2"/>
      <scheme val="minor"/>
    </font>
    <font>
      <u/>
      <sz val="11"/>
      <color theme="10"/>
      <name val="Calibri"/>
      <family val="2"/>
      <scheme val="minor"/>
    </font>
    <font>
      <sz val="14"/>
      <color rgb="FF000000"/>
      <name val="Arial"/>
      <family val="2"/>
    </font>
    <font>
      <sz val="11"/>
      <color rgb="FF9C0006"/>
      <name val="Calibri"/>
      <family val="2"/>
      <scheme val="minor"/>
    </font>
    <font>
      <sz val="13"/>
      <color rgb="FF000000"/>
      <name val="Verdana"/>
      <family val="2"/>
    </font>
    <font>
      <sz val="12"/>
      <color rgb="FF222222"/>
      <name val="Arial"/>
      <family val="2"/>
    </font>
    <font>
      <sz val="12"/>
      <color rgb="FF545454"/>
      <name val="Arial"/>
      <family val="2"/>
    </font>
    <font>
      <sz val="10"/>
      <color rgb="FF000000"/>
      <name val="Arial"/>
      <family val="2"/>
    </font>
    <font>
      <sz val="24"/>
      <color rgb="FF222222"/>
      <name val="Arial"/>
      <family val="2"/>
    </font>
    <font>
      <sz val="11"/>
      <color theme="1"/>
      <name val="Arial"/>
      <family val="2"/>
    </font>
    <font>
      <sz val="8"/>
      <color rgb="FF000000"/>
      <name val="Calibri"/>
      <family val="2"/>
    </font>
    <font>
      <sz val="10"/>
      <color theme="1"/>
      <name val="Arial"/>
      <family val="2"/>
    </font>
    <font>
      <sz val="12"/>
      <color theme="1"/>
      <name val="Arial"/>
      <family val="2"/>
    </font>
    <font>
      <sz val="11"/>
      <color theme="1"/>
      <name val="Calibri"/>
      <family val="2"/>
    </font>
    <font>
      <sz val="7"/>
      <color theme="1"/>
      <name val="Calibri"/>
      <family val="2"/>
      <scheme val="minor"/>
    </font>
  </fonts>
  <fills count="14">
    <fill>
      <patternFill patternType="none"/>
    </fill>
    <fill>
      <patternFill patternType="gray125"/>
    </fill>
    <fill>
      <patternFill patternType="solid">
        <fgColor rgb="FFFFEB9C"/>
      </patternFill>
    </fill>
    <fill>
      <patternFill patternType="solid">
        <fgColor rgb="FFE0121D"/>
        <bgColor indexed="64"/>
      </patternFill>
    </fill>
    <fill>
      <patternFill patternType="solid">
        <fgColor rgb="FFF3CCCC"/>
        <bgColor indexed="64"/>
      </patternFill>
    </fill>
    <fill>
      <patternFill patternType="solid">
        <fgColor rgb="FFF9E7E7"/>
        <bgColor indexed="64"/>
      </patternFill>
    </fill>
    <fill>
      <patternFill patternType="solid">
        <fgColor rgb="FFFF0000"/>
        <bgColor indexed="64"/>
      </patternFill>
    </fill>
    <fill>
      <patternFill patternType="solid">
        <fgColor rgb="FFC6EFCE"/>
      </patternFill>
    </fill>
    <fill>
      <patternFill patternType="solid">
        <fgColor rgb="FFFFCC99"/>
      </patternFill>
    </fill>
    <fill>
      <patternFill patternType="solid">
        <fgColor rgb="FFFFFFCC"/>
      </patternFill>
    </fill>
    <fill>
      <patternFill patternType="solid">
        <fgColor theme="0"/>
        <bgColor indexed="64"/>
      </patternFill>
    </fill>
    <fill>
      <patternFill patternType="solid">
        <fgColor rgb="FFFFC7CE"/>
      </patternFill>
    </fill>
    <fill>
      <patternFill patternType="solid">
        <fgColor rgb="FFA5A5A5"/>
      </patternFill>
    </fill>
    <fill>
      <patternFill patternType="solid">
        <fgColor theme="2" tint="-9.9978637043366805E-2"/>
        <bgColor indexed="64"/>
      </patternFill>
    </fill>
  </fills>
  <borders count="33">
    <border>
      <left/>
      <right/>
      <top/>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diagonal/>
    </border>
    <border>
      <left style="medium">
        <color rgb="FFFFFFFF"/>
      </left>
      <right style="medium">
        <color rgb="FFFFFFFF"/>
      </right>
      <top/>
      <bottom style="medium">
        <color rgb="FFFFFFFF"/>
      </bottom>
      <diagonal/>
    </border>
    <border>
      <left style="medium">
        <color rgb="FFFFFFFF"/>
      </left>
      <right style="medium">
        <color rgb="FFFFFFFF"/>
      </right>
      <top/>
      <bottom/>
      <diagonal/>
    </border>
    <border>
      <left style="medium">
        <color rgb="FFFFFFFF"/>
      </left>
      <right style="medium">
        <color rgb="FFFFFFFF"/>
      </right>
      <top/>
      <bottom style="thick">
        <color rgb="FFFFFFFF"/>
      </bottom>
      <diagonal/>
    </border>
    <border>
      <left style="medium">
        <color rgb="FFFFFFFF"/>
      </left>
      <right style="medium">
        <color rgb="FFFFFFFF"/>
      </right>
      <top style="thick">
        <color rgb="FFFFFFFF"/>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medium">
        <color rgb="FFFFFFFF"/>
      </top>
      <bottom style="thick">
        <color rgb="FFFFFFFF"/>
      </bottom>
      <diagonal/>
    </border>
    <border>
      <left/>
      <right style="medium">
        <color rgb="FFFFFFFF"/>
      </right>
      <top style="medium">
        <color rgb="FFFFFFFF"/>
      </top>
      <bottom style="thick">
        <color rgb="FFFFFFFF"/>
      </bottom>
      <diagonal/>
    </border>
    <border>
      <left style="medium">
        <color rgb="FFFFFFFF"/>
      </left>
      <right/>
      <top style="medium">
        <color rgb="FFFFFFFF"/>
      </top>
      <bottom style="medium">
        <color rgb="FFFFFFFF"/>
      </bottom>
      <diagonal/>
    </border>
    <border>
      <left/>
      <right style="medium">
        <color rgb="FFFFFFFF"/>
      </right>
      <top style="medium">
        <color rgb="FFFFFFFF"/>
      </top>
      <bottom style="medium">
        <color rgb="FFFFFFFF"/>
      </bottom>
      <diagonal/>
    </border>
    <border>
      <left/>
      <right style="thin">
        <color indexed="64"/>
      </right>
      <top/>
      <bottom/>
      <diagonal/>
    </border>
    <border>
      <left style="medium">
        <color rgb="FFDDDDDD"/>
      </left>
      <right style="medium">
        <color rgb="FFDDDDDD"/>
      </right>
      <top style="medium">
        <color rgb="FFDDDDDD"/>
      </top>
      <bottom style="medium">
        <color rgb="FFDDDDDD"/>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top/>
      <bottom/>
      <diagonal/>
    </border>
    <border>
      <left style="double">
        <color rgb="FF3F3F3F"/>
      </left>
      <right style="double">
        <color rgb="FF3F3F3F"/>
      </right>
      <top style="double">
        <color rgb="FF3F3F3F"/>
      </top>
      <bottom style="double">
        <color rgb="FF3F3F3F"/>
      </bottom>
      <diagonal/>
    </border>
    <border>
      <left style="thin">
        <color auto="1"/>
      </left>
      <right style="thin">
        <color indexed="64"/>
      </right>
      <top/>
      <bottom/>
      <diagonal/>
    </border>
    <border diagonalUp="1" diagonalDown="1">
      <left/>
      <right style="thin">
        <color auto="1"/>
      </right>
      <top style="thin">
        <color indexed="64"/>
      </top>
      <bottom/>
      <diagonal style="thin">
        <color rgb="FF7F7F7F"/>
      </diagonal>
    </border>
    <border diagonalUp="1" diagonalDown="1">
      <left style="thin">
        <color indexed="64"/>
      </left>
      <right style="thin">
        <color indexed="64"/>
      </right>
      <top style="thin">
        <color indexed="64"/>
      </top>
      <bottom style="thin">
        <color indexed="64"/>
      </bottom>
      <diagonal style="thin">
        <color auto="1"/>
      </diagonal>
    </border>
  </borders>
  <cellStyleXfs count="10">
    <xf numFmtId="0" fontId="0" fillId="0" borderId="0"/>
    <xf numFmtId="0" fontId="2" fillId="2" borderId="0" applyNumberFormat="0" applyBorder="0" applyAlignment="0" applyProtection="0"/>
    <xf numFmtId="0" fontId="12" fillId="7" borderId="0" applyNumberFormat="0" applyBorder="0" applyAlignment="0" applyProtection="0"/>
    <xf numFmtId="0" fontId="13" fillId="8" borderId="9" applyNumberFormat="0" applyAlignment="0" applyProtection="0"/>
    <xf numFmtId="0" fontId="11" fillId="9" borderId="10" applyNumberFormat="0" applyFont="0" applyAlignment="0" applyProtection="0"/>
    <xf numFmtId="0" fontId="14" fillId="0" borderId="0" applyNumberFormat="0" applyFill="0" applyBorder="0" applyAlignment="0" applyProtection="0"/>
    <xf numFmtId="0" fontId="29" fillId="0" borderId="0" applyNumberFormat="0" applyFill="0" applyBorder="0" applyAlignment="0" applyProtection="0"/>
    <xf numFmtId="0" fontId="31" fillId="11" borderId="0" applyNumberFormat="0" applyBorder="0" applyAlignment="0" applyProtection="0"/>
    <xf numFmtId="0" fontId="3" fillId="12" borderId="29" applyNumberFormat="0" applyAlignment="0" applyProtection="0"/>
    <xf numFmtId="9" fontId="11" fillId="0" borderId="0" applyFont="0" applyFill="0" applyBorder="0" applyAlignment="0" applyProtection="0"/>
  </cellStyleXfs>
  <cellXfs count="289">
    <xf numFmtId="0" fontId="0" fillId="0" borderId="0" xfId="0"/>
    <xf numFmtId="0" fontId="0" fillId="0" borderId="0" xfId="0" applyAlignment="1">
      <alignment horizontal="center"/>
    </xf>
    <xf numFmtId="0" fontId="6" fillId="3" borderId="1" xfId="0" applyFont="1" applyFill="1" applyBorder="1" applyAlignment="1">
      <alignment horizontal="center" vertical="center" wrapText="1" readingOrder="1"/>
    </xf>
    <xf numFmtId="0" fontId="7" fillId="4" borderId="7" xfId="0" applyFont="1" applyFill="1" applyBorder="1" applyAlignment="1">
      <alignment horizontal="center" vertical="center" wrapText="1" readingOrder="1"/>
    </xf>
    <xf numFmtId="0" fontId="7" fillId="4" borderId="5" xfId="0" applyFont="1" applyFill="1" applyBorder="1" applyAlignment="1">
      <alignment horizontal="center" vertical="center" wrapText="1" readingOrder="1"/>
    </xf>
    <xf numFmtId="0" fontId="7" fillId="4" borderId="4" xfId="0" applyFont="1" applyFill="1" applyBorder="1" applyAlignment="1">
      <alignment horizontal="center" vertical="center" wrapText="1" readingOrder="1"/>
    </xf>
    <xf numFmtId="0" fontId="7" fillId="5" borderId="3" xfId="0" applyFont="1" applyFill="1" applyBorder="1" applyAlignment="1">
      <alignment horizontal="center" vertical="center" wrapText="1" readingOrder="1"/>
    </xf>
    <xf numFmtId="0" fontId="7" fillId="5" borderId="5" xfId="0" applyFont="1" applyFill="1" applyBorder="1" applyAlignment="1">
      <alignment horizontal="center" vertical="center" wrapText="1" readingOrder="1"/>
    </xf>
    <xf numFmtId="0" fontId="8" fillId="5" borderId="4" xfId="0" applyFont="1" applyFill="1" applyBorder="1" applyAlignment="1">
      <alignment horizontal="center" vertical="top" wrapText="1"/>
    </xf>
    <xf numFmtId="0" fontId="7" fillId="5" borderId="4" xfId="0" applyFont="1" applyFill="1" applyBorder="1" applyAlignment="1">
      <alignment horizontal="center" vertical="center" wrapText="1" readingOrder="1"/>
    </xf>
    <xf numFmtId="0" fontId="7" fillId="4" borderId="3" xfId="0" applyFont="1" applyFill="1" applyBorder="1" applyAlignment="1">
      <alignment horizontal="center" vertical="center" wrapText="1" readingOrder="1"/>
    </xf>
    <xf numFmtId="0" fontId="8" fillId="4" borderId="4" xfId="0" applyFont="1" applyFill="1" applyBorder="1" applyAlignment="1">
      <alignment horizontal="center" vertical="top" wrapText="1"/>
    </xf>
    <xf numFmtId="0" fontId="7" fillId="4" borderId="2" xfId="0" applyFont="1" applyFill="1" applyBorder="1" applyAlignment="1">
      <alignment horizontal="center" vertical="center" wrapText="1" readingOrder="1"/>
    </xf>
    <xf numFmtId="0" fontId="8" fillId="5" borderId="3" xfId="0" applyFont="1" applyFill="1" applyBorder="1" applyAlignment="1">
      <alignment horizontal="center" vertical="center" wrapText="1" readingOrder="1"/>
    </xf>
    <xf numFmtId="0" fontId="8" fillId="5" borderId="5" xfId="0" applyFont="1" applyFill="1" applyBorder="1" applyAlignment="1">
      <alignment horizontal="center" vertical="top" wrapText="1"/>
    </xf>
    <xf numFmtId="0" fontId="7" fillId="5" borderId="2" xfId="0" applyFont="1" applyFill="1" applyBorder="1" applyAlignment="1">
      <alignment horizontal="center" vertical="center" wrapText="1" readingOrder="1"/>
    </xf>
    <xf numFmtId="0" fontId="2" fillId="2" borderId="0" xfId="1" applyAlignment="1">
      <alignment horizontal="center"/>
    </xf>
    <xf numFmtId="0" fontId="2" fillId="2" borderId="0" xfId="1"/>
    <xf numFmtId="0" fontId="2" fillId="2" borderId="0" xfId="1" applyBorder="1" applyAlignment="1">
      <alignment horizontal="center" vertical="center" wrapText="1" readingOrder="1"/>
    </xf>
    <xf numFmtId="0" fontId="2" fillId="2" borderId="0" xfId="1" applyBorder="1" applyAlignment="1">
      <alignment horizontal="center"/>
    </xf>
    <xf numFmtId="0" fontId="7" fillId="5" borderId="6" xfId="0" applyFont="1" applyFill="1" applyBorder="1" applyAlignment="1">
      <alignment horizontal="center" vertical="center" wrapText="1" readingOrder="1"/>
    </xf>
    <xf numFmtId="0" fontId="9" fillId="2" borderId="0" xfId="1" applyFont="1" applyAlignment="1">
      <alignment horizontal="center"/>
    </xf>
    <xf numFmtId="0" fontId="10" fillId="0" borderId="0" xfId="0" applyFont="1" applyAlignment="1">
      <alignment horizontal="center" vertical="center" readingOrder="1"/>
    </xf>
    <xf numFmtId="0" fontId="3" fillId="6" borderId="0" xfId="0" applyFont="1" applyFill="1"/>
    <xf numFmtId="0" fontId="3" fillId="6" borderId="0" xfId="0" applyFont="1" applyFill="1" applyAlignment="1">
      <alignment horizontal="center" vertical="center"/>
    </xf>
    <xf numFmtId="0" fontId="0" fillId="0" borderId="8" xfId="0" applyBorder="1" applyAlignment="1">
      <alignment horizontal="center"/>
    </xf>
    <xf numFmtId="0" fontId="0" fillId="0" borderId="8" xfId="0" applyBorder="1" applyAlignment="1">
      <alignment wrapText="1"/>
    </xf>
    <xf numFmtId="0" fontId="0" fillId="0" borderId="8" xfId="0" applyBorder="1" applyAlignment="1">
      <alignment vertical="center" wrapText="1"/>
    </xf>
    <xf numFmtId="0" fontId="13" fillId="8" borderId="9" xfId="3" applyAlignment="1">
      <alignment horizontal="center"/>
    </xf>
    <xf numFmtId="0" fontId="1" fillId="9" borderId="10" xfId="4" applyFont="1" applyAlignment="1">
      <alignment horizontal="center" vertical="center" wrapText="1" readingOrder="1"/>
    </xf>
    <xf numFmtId="0" fontId="0" fillId="10" borderId="0" xfId="0" applyFill="1"/>
    <xf numFmtId="0" fontId="0" fillId="0" borderId="8" xfId="0" applyBorder="1" applyAlignment="1">
      <alignment horizontal="center" vertical="center"/>
    </xf>
    <xf numFmtId="0" fontId="6" fillId="3" borderId="5" xfId="0" applyFont="1" applyFill="1" applyBorder="1" applyAlignment="1">
      <alignment horizontal="center" vertical="center" wrapText="1" readingOrder="1"/>
    </xf>
    <xf numFmtId="0" fontId="6" fillId="3" borderId="0" xfId="0" applyFont="1" applyFill="1" applyBorder="1" applyAlignment="1">
      <alignment horizontal="center" vertical="center" wrapText="1" readingOrder="1"/>
    </xf>
    <xf numFmtId="0" fontId="6" fillId="3" borderId="0" xfId="0" applyFont="1" applyFill="1" applyBorder="1" applyAlignment="1">
      <alignment horizontal="center" vertical="center" wrapText="1" readingOrder="1"/>
    </xf>
    <xf numFmtId="0" fontId="6" fillId="3" borderId="0" xfId="0" applyFont="1" applyFill="1" applyBorder="1" applyAlignment="1">
      <alignment vertical="center" wrapText="1" readingOrder="1"/>
    </xf>
    <xf numFmtId="0" fontId="6" fillId="3" borderId="11" xfId="0" applyFont="1" applyFill="1" applyBorder="1" applyAlignment="1">
      <alignment horizontal="center" vertical="center" wrapText="1" readingOrder="1"/>
    </xf>
    <xf numFmtId="0" fontId="6" fillId="3" borderId="12" xfId="0" applyFont="1" applyFill="1" applyBorder="1" applyAlignment="1">
      <alignment vertical="center" wrapText="1" readingOrder="1"/>
    </xf>
    <xf numFmtId="0" fontId="6" fillId="3" borderId="12" xfId="0" applyFont="1" applyFill="1" applyBorder="1" applyAlignment="1">
      <alignment horizontal="center" vertical="center" wrapText="1" readingOrder="1"/>
    </xf>
    <xf numFmtId="0" fontId="0" fillId="0" borderId="0" xfId="0" applyAlignment="1">
      <alignment vertical="center"/>
    </xf>
    <xf numFmtId="0" fontId="0" fillId="0" borderId="8" xfId="0" applyBorder="1"/>
    <xf numFmtId="0" fontId="0" fillId="0" borderId="8" xfId="0" applyFill="1" applyBorder="1" applyAlignment="1">
      <alignment horizontal="center" vertical="center"/>
    </xf>
    <xf numFmtId="0" fontId="0" fillId="0" borderId="8" xfId="0" applyBorder="1" applyAlignment="1">
      <alignment vertical="center"/>
    </xf>
    <xf numFmtId="0" fontId="0" fillId="0" borderId="8"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center" vertical="center"/>
    </xf>
    <xf numFmtId="0" fontId="15" fillId="0" borderId="0" xfId="0" applyFont="1"/>
    <xf numFmtId="0" fontId="0" fillId="0" borderId="0" xfId="0"/>
    <xf numFmtId="0" fontId="0" fillId="0" borderId="0" xfId="0"/>
    <xf numFmtId="0" fontId="0" fillId="0" borderId="0" xfId="0" applyAlignment="1"/>
    <xf numFmtId="0" fontId="17" fillId="6" borderId="0" xfId="0" applyFont="1" applyFill="1"/>
    <xf numFmtId="0" fontId="17" fillId="6" borderId="21" xfId="0" applyFont="1" applyFill="1" applyBorder="1"/>
    <xf numFmtId="0" fontId="17" fillId="6" borderId="21" xfId="0" applyFont="1" applyFill="1" applyBorder="1" applyAlignment="1">
      <alignment horizontal="center"/>
    </xf>
    <xf numFmtId="0" fontId="17" fillId="6" borderId="22" xfId="0" applyFont="1" applyFill="1" applyBorder="1"/>
    <xf numFmtId="0" fontId="19" fillId="0" borderId="0" xfId="0" applyFont="1" applyAlignment="1">
      <alignment horizontal="center" vertical="center"/>
    </xf>
    <xf numFmtId="0" fontId="18" fillId="0" borderId="0" xfId="0" applyFont="1" applyAlignment="1">
      <alignment horizontal="center" vertical="center"/>
    </xf>
    <xf numFmtId="0" fontId="22" fillId="0" borderId="0" xfId="0" applyFont="1"/>
    <xf numFmtId="0" fontId="23" fillId="0" borderId="0" xfId="0" applyFont="1" applyBorder="1" applyAlignment="1">
      <alignment horizontal="center" vertical="center" wrapText="1" readingOrder="1"/>
    </xf>
    <xf numFmtId="0" fontId="0" fillId="0" borderId="0" xfId="0"/>
    <xf numFmtId="0" fontId="24" fillId="0" borderId="0" xfId="0" applyFont="1"/>
    <xf numFmtId="0" fontId="25" fillId="0" borderId="0" xfId="0" applyFont="1" applyAlignment="1">
      <alignment horizontal="center" vertical="center"/>
    </xf>
    <xf numFmtId="0" fontId="26" fillId="6" borderId="21" xfId="0" applyFont="1" applyFill="1" applyBorder="1" applyAlignment="1">
      <alignment horizontal="center" vertical="center"/>
    </xf>
    <xf numFmtId="0" fontId="26" fillId="6" borderId="22" xfId="0" applyFont="1" applyFill="1" applyBorder="1" applyAlignment="1">
      <alignment horizontal="center" vertical="center"/>
    </xf>
    <xf numFmtId="0" fontId="19" fillId="0" borderId="0" xfId="0" applyFont="1" applyAlignment="1">
      <alignment horizontal="center" vertical="center" textRotation="180"/>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6" fillId="0" borderId="16" xfId="0" applyFont="1" applyBorder="1" applyAlignment="1">
      <alignment horizontal="center" vertical="center"/>
    </xf>
    <xf numFmtId="0" fontId="0" fillId="0" borderId="8" xfId="0" applyBorder="1" applyAlignment="1">
      <alignment horizontal="center" vertical="center"/>
    </xf>
    <xf numFmtId="0" fontId="27" fillId="10" borderId="0" xfId="5" applyFont="1" applyFill="1"/>
    <xf numFmtId="0" fontId="28" fillId="10" borderId="0" xfId="0" applyFont="1" applyFill="1" applyAlignment="1">
      <alignment horizontal="left"/>
    </xf>
    <xf numFmtId="0" fontId="28" fillId="10" borderId="0" xfId="5" applyFont="1" applyFill="1"/>
    <xf numFmtId="0" fontId="0" fillId="10" borderId="22" xfId="0" applyFill="1" applyBorder="1"/>
    <xf numFmtId="0" fontId="0" fillId="10" borderId="23" xfId="0" applyFill="1" applyBorder="1"/>
    <xf numFmtId="0" fontId="0" fillId="10" borderId="20" xfId="0" applyFill="1" applyBorder="1"/>
    <xf numFmtId="0" fontId="0" fillId="10" borderId="19" xfId="0" applyFill="1" applyBorder="1"/>
    <xf numFmtId="0" fontId="0" fillId="10" borderId="24" xfId="0" applyFill="1" applyBorder="1"/>
    <xf numFmtId="0" fontId="0" fillId="10" borderId="17" xfId="0" applyFill="1" applyBorder="1"/>
    <xf numFmtId="0" fontId="0" fillId="10" borderId="25" xfId="0" applyFill="1" applyBorder="1"/>
    <xf numFmtId="0" fontId="0" fillId="10" borderId="26" xfId="0" applyFill="1" applyBorder="1"/>
    <xf numFmtId="0" fontId="0" fillId="10" borderId="27" xfId="0" applyFill="1" applyBorder="1"/>
    <xf numFmtId="0" fontId="0" fillId="10" borderId="28" xfId="0" applyFill="1" applyBorder="1"/>
    <xf numFmtId="0" fontId="0" fillId="10" borderId="0" xfId="0" applyFill="1" applyBorder="1"/>
    <xf numFmtId="0" fontId="0" fillId="10" borderId="15" xfId="0" applyFill="1" applyBorder="1"/>
    <xf numFmtId="0" fontId="0" fillId="0" borderId="0" xfId="0"/>
    <xf numFmtId="0" fontId="0" fillId="0" borderId="0" xfId="0"/>
    <xf numFmtId="0" fontId="30" fillId="0" borderId="0" xfId="0" applyFont="1" applyAlignment="1">
      <alignment horizontal="center" vertical="center"/>
    </xf>
    <xf numFmtId="0" fontId="0" fillId="0" borderId="0" xfId="0"/>
    <xf numFmtId="0" fontId="31" fillId="11" borderId="0" xfId="7" applyAlignment="1">
      <alignment horizontal="center" vertical="center"/>
    </xf>
    <xf numFmtId="0" fontId="31" fillId="11" borderId="0" xfId="7"/>
    <xf numFmtId="0" fontId="32" fillId="0" borderId="0" xfId="0" applyFont="1" applyAlignment="1">
      <alignment horizontal="center" vertical="center" wrapText="1"/>
    </xf>
    <xf numFmtId="0" fontId="0" fillId="0" borderId="0" xfId="0"/>
    <xf numFmtId="0" fontId="0" fillId="0" borderId="8" xfId="0"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12" fillId="7" borderId="8" xfId="2" applyBorder="1" applyAlignment="1">
      <alignment horizontal="center" vertical="center" wrapText="1" readingOrder="1"/>
    </xf>
    <xf numFmtId="2" fontId="0" fillId="0" borderId="0" xfId="0" applyNumberFormat="1"/>
    <xf numFmtId="2" fontId="35" fillId="0" borderId="0" xfId="0" applyNumberFormat="1" applyFont="1"/>
    <xf numFmtId="2" fontId="33" fillId="0" borderId="0" xfId="0" applyNumberFormat="1" applyFont="1"/>
    <xf numFmtId="2" fontId="34" fillId="0" borderId="0" xfId="0" applyNumberFormat="1" applyFont="1"/>
    <xf numFmtId="0" fontId="2" fillId="2" borderId="8" xfId="1" applyBorder="1" applyAlignment="1">
      <alignment horizontal="center"/>
    </xf>
    <xf numFmtId="3" fontId="36" fillId="0" borderId="0" xfId="0" applyNumberFormat="1" applyFont="1"/>
    <xf numFmtId="164" fontId="2" fillId="2" borderId="8" xfId="1" applyNumberFormat="1" applyBorder="1" applyAlignment="1">
      <alignment horizontal="center" vertical="center" wrapText="1"/>
    </xf>
    <xf numFmtId="164" fontId="2" fillId="2" borderId="27" xfId="1" applyNumberFormat="1" applyBorder="1" applyAlignment="1">
      <alignment horizontal="center" vertical="center" wrapText="1"/>
    </xf>
    <xf numFmtId="0" fontId="2" fillId="2" borderId="27" xfId="1" applyBorder="1" applyAlignment="1">
      <alignment horizontal="center"/>
    </xf>
    <xf numFmtId="166" fontId="2" fillId="2" borderId="27" xfId="1" applyNumberFormat="1" applyBorder="1" applyAlignment="1">
      <alignment horizontal="center"/>
    </xf>
    <xf numFmtId="165" fontId="12" fillId="7" borderId="27" xfId="2" applyNumberFormat="1" applyBorder="1" applyAlignment="1">
      <alignment horizontal="center" vertical="center"/>
    </xf>
    <xf numFmtId="0" fontId="12" fillId="7" borderId="27" xfId="2" applyBorder="1" applyAlignment="1">
      <alignment horizontal="center" vertical="center"/>
    </xf>
    <xf numFmtId="0" fontId="0" fillId="0" borderId="8" xfId="0" applyFill="1" applyBorder="1" applyAlignment="1">
      <alignment horizontal="center"/>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37" fillId="0" borderId="0" xfId="0" applyFont="1" applyAlignment="1">
      <alignment horizontal="center"/>
    </xf>
    <xf numFmtId="0" fontId="2" fillId="2" borderId="27" xfId="1" applyBorder="1" applyAlignment="1">
      <alignment horizontal="center" vertical="center"/>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center" vertical="center"/>
    </xf>
    <xf numFmtId="164" fontId="12" fillId="7" borderId="27" xfId="2" applyNumberFormat="1" applyBorder="1" applyAlignment="1">
      <alignment horizontal="center" vertical="center" wrapText="1"/>
    </xf>
    <xf numFmtId="0" fontId="17" fillId="6" borderId="18" xfId="0" applyFont="1" applyFill="1" applyBorder="1" applyAlignment="1"/>
    <xf numFmtId="0" fontId="17" fillId="6" borderId="19" xfId="0" applyFont="1" applyFill="1" applyBorder="1" applyAlignment="1"/>
    <xf numFmtId="0" fontId="2" fillId="2" borderId="8" xfId="1" applyBorder="1" applyAlignment="1" applyProtection="1">
      <alignment horizontal="center" vertical="center" wrapText="1" readingOrder="1"/>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center" vertical="center"/>
    </xf>
    <xf numFmtId="0" fontId="39" fillId="0" borderId="0" xfId="0" applyFont="1" applyAlignment="1">
      <alignment vertical="center"/>
    </xf>
    <xf numFmtId="0" fontId="37" fillId="0" borderId="0" xfId="0" applyFont="1"/>
    <xf numFmtId="0" fontId="3" fillId="13" borderId="29" xfId="8" applyFill="1" applyAlignment="1" applyProtection="1">
      <alignment horizontal="center" vertical="center" wrapText="1" readingOrder="1"/>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center" vertical="center"/>
    </xf>
    <xf numFmtId="2" fontId="2" fillId="2" borderId="27" xfId="1" applyNumberFormat="1" applyBorder="1" applyAlignment="1">
      <alignment horizontal="center" vertical="center" wrapText="1"/>
    </xf>
    <xf numFmtId="0" fontId="2" fillId="2" borderId="8" xfId="1" applyBorder="1" applyAlignment="1">
      <alignment horizontal="center" vertical="center"/>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27" xfId="0" applyBorder="1" applyAlignment="1">
      <alignment horizontal="center"/>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15" xfId="0" applyBorder="1" applyAlignment="1">
      <alignment horizontal="center" vertical="center"/>
    </xf>
    <xf numFmtId="0" fontId="16" fillId="0" borderId="0" xfId="0" applyFont="1" applyBorder="1" applyAlignment="1">
      <alignment horizontal="center" vertical="center"/>
    </xf>
    <xf numFmtId="0" fontId="18" fillId="0" borderId="0" xfId="0" applyFont="1" applyAlignment="1">
      <alignment horizontal="left" vertical="center"/>
    </xf>
    <xf numFmtId="1" fontId="2" fillId="2" borderId="27" xfId="1" applyNumberFormat="1" applyBorder="1" applyAlignment="1">
      <alignment horizontal="center" vertical="center" wrapText="1"/>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center" vertical="top"/>
    </xf>
    <xf numFmtId="0" fontId="13" fillId="8" borderId="8" xfId="3" applyBorder="1" applyAlignment="1">
      <alignment horizontal="center"/>
    </xf>
    <xf numFmtId="0" fontId="12" fillId="7" borderId="8" xfId="2" applyBorder="1" applyAlignment="1">
      <alignment horizontal="center" vertical="center"/>
    </xf>
    <xf numFmtId="0" fontId="13" fillId="8" borderId="8" xfId="3" applyBorder="1" applyAlignment="1">
      <alignment horizontal="center" vertical="center"/>
    </xf>
    <xf numFmtId="0" fontId="0" fillId="0" borderId="0" xfId="0" applyAlignment="1">
      <alignment horizontal="left"/>
    </xf>
    <xf numFmtId="0" fontId="0" fillId="0" borderId="0" xfId="0" applyAlignment="1">
      <alignment wrapText="1"/>
    </xf>
    <xf numFmtId="0" fontId="0" fillId="0" borderId="0" xfId="0" applyAlignment="1">
      <alignment horizontal="left" wrapText="1"/>
    </xf>
    <xf numFmtId="0" fontId="0" fillId="0" borderId="0" xfId="0" applyAlignment="1">
      <alignment horizontal="left" vertical="center"/>
    </xf>
    <xf numFmtId="164" fontId="2" fillId="2" borderId="8" xfId="1" applyNumberFormat="1" applyBorder="1" applyAlignment="1">
      <alignment horizontal="center" vertical="center"/>
    </xf>
    <xf numFmtId="0" fontId="0" fillId="0" borderId="21" xfId="0" applyBorder="1" applyAlignment="1">
      <alignment horizontal="center" vertical="center"/>
    </xf>
    <xf numFmtId="0" fontId="0" fillId="0" borderId="0" xfId="0" applyAlignment="1">
      <alignment horizontal="left" vertical="center" wrapText="1"/>
    </xf>
    <xf numFmtId="0" fontId="28" fillId="0" borderId="0" xfId="0" applyFont="1" applyAlignment="1">
      <alignment horizontal="center" vertical="center"/>
    </xf>
    <xf numFmtId="165" fontId="28" fillId="0" borderId="0" xfId="2" applyNumberFormat="1" applyFont="1" applyFill="1" applyBorder="1" applyAlignment="1">
      <alignment horizontal="center" vertical="center"/>
    </xf>
    <xf numFmtId="0" fontId="28" fillId="0" borderId="0" xfId="2" applyNumberFormat="1" applyFont="1" applyFill="1" applyBorder="1" applyAlignment="1">
      <alignment horizontal="center" vertical="center"/>
    </xf>
    <xf numFmtId="166" fontId="28" fillId="0" borderId="0" xfId="0" applyNumberFormat="1" applyFont="1" applyAlignment="1">
      <alignment horizontal="center" vertical="center"/>
    </xf>
    <xf numFmtId="0" fontId="28" fillId="0" borderId="0" xfId="0" applyFont="1" applyAlignment="1">
      <alignment horizontal="center" vertical="center" wrapText="1"/>
    </xf>
    <xf numFmtId="2" fontId="28" fillId="0" borderId="0" xfId="2" applyNumberFormat="1" applyFont="1" applyFill="1" applyBorder="1" applyAlignment="1">
      <alignment horizontal="center" vertical="center"/>
    </xf>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8" xfId="0" applyBorder="1" applyAlignment="1">
      <alignment horizontal="center"/>
    </xf>
    <xf numFmtId="0" fontId="0" fillId="0" borderId="28" xfId="0" applyBorder="1" applyAlignment="1">
      <alignment horizontal="center" vertical="center"/>
    </xf>
    <xf numFmtId="0" fontId="0" fillId="0" borderId="21" xfId="0" applyFill="1" applyBorder="1" applyAlignment="1">
      <alignment horizontal="center" vertical="center" wrapText="1"/>
    </xf>
    <xf numFmtId="0" fontId="13" fillId="8" borderId="31" xfId="3" applyBorder="1"/>
    <xf numFmtId="0" fontId="0" fillId="0" borderId="0" xfId="0" applyBorder="1" applyAlignment="1"/>
    <xf numFmtId="0" fontId="0" fillId="0" borderId="0" xfId="0" applyBorder="1"/>
    <xf numFmtId="0" fontId="2" fillId="2" borderId="32" xfId="1" applyBorder="1" applyAlignment="1"/>
    <xf numFmtId="0" fontId="13" fillId="8" borderId="20" xfId="3" applyBorder="1"/>
    <xf numFmtId="0" fontId="0" fillId="0" borderId="0" xfId="0" applyFill="1" applyBorder="1"/>
    <xf numFmtId="0" fontId="0" fillId="0" borderId="0" xfId="0" applyAlignment="1">
      <alignment vertical="center" wrapText="1"/>
    </xf>
    <xf numFmtId="0" fontId="0" fillId="0" borderId="0" xfId="0" applyBorder="1" applyAlignment="1">
      <alignment horizontal="center" vertical="center"/>
    </xf>
    <xf numFmtId="0" fontId="37" fillId="0" borderId="0" xfId="0" applyFont="1" applyAlignment="1">
      <alignment vertical="center" wrapText="1"/>
    </xf>
    <xf numFmtId="0" fontId="0" fillId="0" borderId="15" xfId="0" applyBorder="1"/>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left" vertical="center" wrapText="1"/>
    </xf>
    <xf numFmtId="0" fontId="0" fillId="0" borderId="0" xfId="0" applyFont="1" applyFill="1" applyBorder="1"/>
    <xf numFmtId="0" fontId="0" fillId="0" borderId="8" xfId="0" applyBorder="1" applyAlignment="1">
      <alignment horizontal="center" vertical="center"/>
    </xf>
    <xf numFmtId="0" fontId="0" fillId="0" borderId="0" xfId="0"/>
    <xf numFmtId="0" fontId="0" fillId="0" borderId="0" xfId="0" applyAlignment="1">
      <alignment horizontal="center"/>
    </xf>
    <xf numFmtId="0" fontId="0" fillId="0" borderId="0" xfId="0" applyAlignment="1">
      <alignment horizontal="left" vertical="center" wrapText="1"/>
    </xf>
    <xf numFmtId="0" fontId="0" fillId="0" borderId="8" xfId="0" applyBorder="1" applyAlignment="1">
      <alignment horizontal="center"/>
    </xf>
    <xf numFmtId="0" fontId="0" fillId="0" borderId="8" xfId="0" applyBorder="1" applyAlignment="1">
      <alignment horizontal="center" vertical="center" wrapText="1"/>
    </xf>
    <xf numFmtId="0" fontId="40" fillId="0" borderId="8" xfId="0" applyFont="1" applyBorder="1" applyAlignment="1">
      <alignment horizontal="center"/>
    </xf>
    <xf numFmtId="0" fontId="41" fillId="0" borderId="8" xfId="0" applyFont="1" applyBorder="1" applyAlignment="1">
      <alignment horizontal="center"/>
    </xf>
    <xf numFmtId="9" fontId="0" fillId="0" borderId="21" xfId="9" applyFont="1" applyBorder="1" applyAlignment="1">
      <alignment horizontal="center" vertical="center" wrapText="1"/>
    </xf>
    <xf numFmtId="0" fontId="37" fillId="0" borderId="0" xfId="0" applyFont="1" applyAlignment="1">
      <alignment horizontal="center" vertical="center"/>
    </xf>
    <xf numFmtId="0" fontId="0" fillId="0" borderId="8" xfId="0" applyFill="1" applyBorder="1" applyAlignment="1">
      <alignment horizontal="center" vertical="center" wrapText="1"/>
    </xf>
    <xf numFmtId="0" fontId="0" fillId="0" borderId="8" xfId="0" applyFont="1" applyBorder="1" applyAlignment="1">
      <alignment horizontal="center"/>
    </xf>
    <xf numFmtId="0" fontId="8" fillId="0" borderId="8" xfId="0" applyFont="1" applyBorder="1" applyAlignment="1">
      <alignment horizontal="center"/>
    </xf>
    <xf numFmtId="0" fontId="0" fillId="0" borderId="0" xfId="0" applyAlignment="1">
      <alignment horizontal="center" readingOrder="1"/>
    </xf>
    <xf numFmtId="0" fontId="0" fillId="0" borderId="8" xfId="0" applyFill="1" applyBorder="1" applyAlignment="1">
      <alignment horizontal="center" readingOrder="1"/>
    </xf>
    <xf numFmtId="0" fontId="0" fillId="0" borderId="8" xfId="0" applyBorder="1" applyAlignment="1">
      <alignment horizontal="center" readingOrder="1"/>
    </xf>
    <xf numFmtId="0" fontId="0" fillId="0" borderId="8" xfId="0" applyBorder="1" applyAlignment="1">
      <alignment horizontal="center" vertical="center" readingOrder="1"/>
    </xf>
    <xf numFmtId="0" fontId="0" fillId="0" borderId="0" xfId="0" applyAlignment="1">
      <alignment horizontal="left" vertical="center" wrapText="1"/>
    </xf>
    <xf numFmtId="0" fontId="0" fillId="0" borderId="8" xfId="0" applyBorder="1" applyAlignment="1">
      <alignment horizontal="center" vertical="center"/>
    </xf>
    <xf numFmtId="0" fontId="0" fillId="0" borderId="27" xfId="0" applyBorder="1" applyAlignment="1">
      <alignment horizontal="center"/>
    </xf>
    <xf numFmtId="0" fontId="0" fillId="0" borderId="20" xfId="0" applyBorder="1" applyAlignment="1">
      <alignment horizontal="center" vertical="center"/>
    </xf>
    <xf numFmtId="0" fontId="0" fillId="0" borderId="17" xfId="0" applyBorder="1" applyAlignment="1">
      <alignment horizontal="center" vertical="center"/>
    </xf>
    <xf numFmtId="0" fontId="0" fillId="0" borderId="28"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xf>
    <xf numFmtId="0" fontId="0" fillId="0" borderId="0" xfId="0"/>
    <xf numFmtId="0" fontId="0" fillId="0" borderId="8" xfId="0" applyBorder="1" applyAlignment="1">
      <alignment horizontal="center" vertical="center" wrapText="1"/>
    </xf>
    <xf numFmtId="0" fontId="0" fillId="0" borderId="21" xfId="0" applyBorder="1" applyAlignment="1">
      <alignment horizontal="center" vertical="center"/>
    </xf>
    <xf numFmtId="0" fontId="0" fillId="0" borderId="0" xfId="0" applyAlignment="1">
      <alignment horizontal="center"/>
    </xf>
    <xf numFmtId="0" fontId="0" fillId="0" borderId="20" xfId="0" applyBorder="1" applyAlignment="1">
      <alignment horizontal="center" vertical="center"/>
    </xf>
    <xf numFmtId="0" fontId="0" fillId="0" borderId="28" xfId="0" applyBorder="1" applyAlignment="1">
      <alignment horizontal="center" vertical="center"/>
    </xf>
    <xf numFmtId="0" fontId="0" fillId="0" borderId="15" xfId="0" applyBorder="1" applyAlignment="1">
      <alignment horizontal="center" vertical="center"/>
    </xf>
    <xf numFmtId="0" fontId="0" fillId="0" borderId="17" xfId="0" applyBorder="1" applyAlignment="1">
      <alignment horizontal="center" vertical="center"/>
    </xf>
    <xf numFmtId="0" fontId="0" fillId="0" borderId="8" xfId="0" applyBorder="1" applyAlignment="1">
      <alignment horizontal="center" vertical="center" wrapText="1"/>
    </xf>
    <xf numFmtId="0" fontId="0" fillId="0" borderId="8" xfId="0" applyBorder="1" applyAlignment="1">
      <alignment horizontal="center" vertical="center"/>
    </xf>
    <xf numFmtId="0" fontId="0" fillId="0" borderId="21" xfId="0" applyBorder="1" applyAlignment="1">
      <alignment horizontal="center" vertical="center"/>
    </xf>
    <xf numFmtId="0" fontId="0" fillId="0" borderId="0" xfId="0"/>
    <xf numFmtId="0" fontId="0" fillId="0" borderId="0" xfId="0" applyAlignment="1">
      <alignment horizontal="left" vertical="center" wrapText="1"/>
    </xf>
    <xf numFmtId="0" fontId="0" fillId="0" borderId="2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29" fillId="0" borderId="25" xfId="6" applyBorder="1" applyAlignment="1">
      <alignment horizontal="center"/>
    </xf>
    <xf numFmtId="0" fontId="29" fillId="0" borderId="26" xfId="6" applyBorder="1" applyAlignment="1">
      <alignment horizontal="center"/>
    </xf>
    <xf numFmtId="0" fontId="29" fillId="0" borderId="27" xfId="6" applyBorder="1" applyAlignment="1">
      <alignment horizontal="center"/>
    </xf>
    <xf numFmtId="0" fontId="29" fillId="10" borderId="25" xfId="6" applyFill="1" applyBorder="1" applyAlignment="1">
      <alignment horizontal="center"/>
    </xf>
    <xf numFmtId="0" fontId="29" fillId="10" borderId="26" xfId="6" applyFill="1" applyBorder="1" applyAlignment="1">
      <alignment horizontal="center"/>
    </xf>
    <xf numFmtId="0" fontId="29" fillId="10" borderId="27" xfId="6" applyFill="1" applyBorder="1" applyAlignment="1">
      <alignment horizontal="center"/>
    </xf>
    <xf numFmtId="0" fontId="29" fillId="10" borderId="8" xfId="6" applyFill="1" applyBorder="1" applyAlignment="1">
      <alignment horizontal="center" vertical="center"/>
    </xf>
    <xf numFmtId="0" fontId="29" fillId="10" borderId="22" xfId="6" applyFill="1" applyBorder="1" applyAlignment="1">
      <alignment horizontal="center" vertical="center"/>
    </xf>
    <xf numFmtId="0" fontId="29" fillId="10" borderId="23" xfId="6" applyFill="1" applyBorder="1" applyAlignment="1">
      <alignment horizontal="center" vertical="center"/>
    </xf>
    <xf numFmtId="0" fontId="29" fillId="10" borderId="19" xfId="6" applyFill="1" applyBorder="1" applyAlignment="1">
      <alignment horizontal="center" vertical="center"/>
    </xf>
    <xf numFmtId="0" fontId="29" fillId="10" borderId="24" xfId="6" applyFill="1" applyBorder="1" applyAlignment="1">
      <alignment horizontal="center" vertical="center"/>
    </xf>
    <xf numFmtId="0" fontId="29" fillId="10" borderId="25" xfId="6" quotePrefix="1" applyFill="1" applyBorder="1" applyAlignment="1">
      <alignment horizontal="center" vertical="center"/>
    </xf>
    <xf numFmtId="0" fontId="29" fillId="10" borderId="26" xfId="6" applyFill="1" applyBorder="1" applyAlignment="1">
      <alignment horizontal="center" vertical="center"/>
    </xf>
    <xf numFmtId="0" fontId="29" fillId="10" borderId="27" xfId="6" applyFill="1" applyBorder="1" applyAlignment="1">
      <alignment horizontal="center" vertical="center"/>
    </xf>
    <xf numFmtId="0" fontId="6" fillId="3" borderId="0" xfId="0" applyFont="1" applyFill="1" applyBorder="1" applyAlignment="1">
      <alignment horizontal="center" vertical="center" wrapText="1" readingOrder="1"/>
    </xf>
    <xf numFmtId="0" fontId="6" fillId="3" borderId="13" xfId="0" applyFont="1" applyFill="1" applyBorder="1" applyAlignment="1">
      <alignment horizontal="center" vertical="center" wrapText="1" readingOrder="1"/>
    </xf>
    <xf numFmtId="0" fontId="6" fillId="3" borderId="14" xfId="0" applyFont="1" applyFill="1" applyBorder="1" applyAlignment="1">
      <alignment horizontal="center" vertical="center" wrapText="1" readingOrder="1"/>
    </xf>
    <xf numFmtId="0" fontId="6" fillId="3" borderId="24" xfId="0" applyFont="1" applyFill="1" applyBorder="1" applyAlignment="1">
      <alignment horizontal="center" vertical="center" wrapText="1" readingOrder="1"/>
    </xf>
    <xf numFmtId="0" fontId="7" fillId="5" borderId="3" xfId="0" applyFont="1" applyFill="1" applyBorder="1" applyAlignment="1">
      <alignment horizontal="center" vertical="center" wrapText="1" readingOrder="1"/>
    </xf>
    <xf numFmtId="0" fontId="7" fillId="5" borderId="5" xfId="0" applyFont="1" applyFill="1" applyBorder="1" applyAlignment="1">
      <alignment horizontal="center" vertical="center" wrapText="1" readingOrder="1"/>
    </xf>
    <xf numFmtId="0" fontId="7" fillId="5" borderId="4" xfId="0" applyFont="1" applyFill="1" applyBorder="1" applyAlignment="1">
      <alignment horizontal="center" vertical="center" wrapText="1" readingOrder="1"/>
    </xf>
    <xf numFmtId="0" fontId="7" fillId="4" borderId="3" xfId="0" applyFont="1" applyFill="1" applyBorder="1" applyAlignment="1">
      <alignment horizontal="center" vertical="center" wrapText="1" readingOrder="1"/>
    </xf>
    <xf numFmtId="0" fontId="7" fillId="4" borderId="5" xfId="0" applyFont="1" applyFill="1" applyBorder="1" applyAlignment="1">
      <alignment horizontal="center" vertical="center" wrapText="1" readingOrder="1"/>
    </xf>
    <xf numFmtId="0" fontId="7" fillId="4" borderId="4" xfId="0" applyFont="1" applyFill="1" applyBorder="1" applyAlignment="1">
      <alignment horizontal="center" vertical="center" wrapText="1" readingOrder="1"/>
    </xf>
    <xf numFmtId="0" fontId="7" fillId="5" borderId="6" xfId="0" applyFont="1" applyFill="1" applyBorder="1" applyAlignment="1">
      <alignment horizontal="center" vertical="center" wrapText="1" readingOrder="1"/>
    </xf>
    <xf numFmtId="0" fontId="7" fillId="4" borderId="7" xfId="0" applyFont="1" applyFill="1" applyBorder="1" applyAlignment="1">
      <alignment horizontal="center" vertical="center" wrapText="1" readingOrder="1"/>
    </xf>
    <xf numFmtId="0" fontId="0" fillId="0" borderId="8" xfId="0" applyBorder="1" applyAlignment="1">
      <alignment horizontal="center" vertical="center"/>
    </xf>
    <xf numFmtId="0" fontId="2" fillId="2" borderId="0" xfId="1" applyAlignment="1">
      <alignment horizontal="center" vertical="center" wrapText="1"/>
    </xf>
    <xf numFmtId="0" fontId="0" fillId="0" borderId="0" xfId="0"/>
    <xf numFmtId="0" fontId="17" fillId="6" borderId="18" xfId="0" applyFont="1" applyFill="1" applyBorder="1" applyAlignment="1">
      <alignment horizontal="center" vertical="center"/>
    </xf>
    <xf numFmtId="0" fontId="17" fillId="6" borderId="21" xfId="0" applyFont="1" applyFill="1" applyBorder="1" applyAlignment="1">
      <alignment horizontal="center" vertical="center"/>
    </xf>
    <xf numFmtId="0" fontId="17" fillId="6" borderId="17" xfId="0" applyFont="1" applyFill="1" applyBorder="1" applyAlignment="1">
      <alignment horizontal="center" vertical="center"/>
    </xf>
    <xf numFmtId="0" fontId="17" fillId="6" borderId="20" xfId="0" applyFont="1" applyFill="1" applyBorder="1" applyAlignment="1">
      <alignment horizontal="center" vertical="center"/>
    </xf>
    <xf numFmtId="0" fontId="0" fillId="0" borderId="22" xfId="0" applyBorder="1" applyAlignment="1">
      <alignment horizontal="center" vertical="center" wrapText="1"/>
    </xf>
    <xf numFmtId="0" fontId="0" fillId="0" borderId="20" xfId="0" applyBorder="1" applyAlignment="1">
      <alignment horizontal="center" vertical="center" wrapText="1"/>
    </xf>
    <xf numFmtId="0" fontId="0" fillId="0" borderId="22" xfId="0" applyBorder="1" applyAlignment="1">
      <alignment horizontal="center" vertical="center"/>
    </xf>
    <xf numFmtId="0" fontId="0" fillId="0" borderId="20" xfId="0" applyBorder="1" applyAlignment="1">
      <alignment horizontal="center" vertical="center"/>
    </xf>
    <xf numFmtId="0" fontId="0" fillId="0" borderId="28" xfId="0" applyBorder="1" applyAlignment="1">
      <alignment horizontal="center" vertical="center"/>
    </xf>
    <xf numFmtId="0" fontId="0" fillId="0" borderId="15" xfId="0" applyBorder="1" applyAlignment="1">
      <alignment horizontal="center" vertical="center"/>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8" xfId="0" applyBorder="1" applyAlignment="1">
      <alignment horizontal="center" vertical="center" wrapText="1"/>
    </xf>
    <xf numFmtId="0" fontId="0" fillId="0" borderId="21" xfId="0" applyBorder="1" applyAlignment="1">
      <alignment horizontal="center" vertical="center" wrapText="1"/>
    </xf>
    <xf numFmtId="0" fontId="0" fillId="0" borderId="18" xfId="0" applyBorder="1" applyAlignment="1">
      <alignment horizontal="center" vertical="center" wrapText="1"/>
    </xf>
    <xf numFmtId="0" fontId="0" fillId="0" borderId="21" xfId="0" applyBorder="1" applyAlignment="1">
      <alignment horizontal="center" vertical="center"/>
    </xf>
    <xf numFmtId="0" fontId="0" fillId="0" borderId="18" xfId="0" applyBorder="1" applyAlignment="1">
      <alignment horizontal="center" vertical="center"/>
    </xf>
    <xf numFmtId="0" fontId="0" fillId="0" borderId="24" xfId="0" applyBorder="1" applyAlignment="1">
      <alignment horizontal="center"/>
    </xf>
    <xf numFmtId="0" fontId="0" fillId="0" borderId="0" xfId="0" applyAlignment="1">
      <alignment horizontal="left" vertical="center" wrapText="1"/>
    </xf>
    <xf numFmtId="9" fontId="0" fillId="0" borderId="22" xfId="9" applyFont="1" applyBorder="1" applyAlignment="1">
      <alignment horizontal="center" vertical="center" wrapText="1"/>
    </xf>
    <xf numFmtId="9" fontId="0" fillId="0" borderId="20" xfId="9" applyFont="1" applyBorder="1" applyAlignment="1">
      <alignment horizontal="center" vertical="center" wrapText="1"/>
    </xf>
    <xf numFmtId="9" fontId="0" fillId="0" borderId="19" xfId="9" applyFont="1" applyBorder="1" applyAlignment="1">
      <alignment horizontal="center" vertical="center" wrapText="1"/>
    </xf>
    <xf numFmtId="9" fontId="0" fillId="0" borderId="17" xfId="9" applyFont="1" applyBorder="1" applyAlignment="1">
      <alignment horizontal="center" vertical="center" wrapText="1"/>
    </xf>
    <xf numFmtId="0" fontId="0" fillId="0" borderId="25" xfId="0" applyBorder="1" applyAlignment="1">
      <alignment horizontal="center"/>
    </xf>
    <xf numFmtId="0" fontId="0" fillId="0" borderId="27" xfId="0" applyBorder="1" applyAlignment="1">
      <alignment horizontal="center"/>
    </xf>
    <xf numFmtId="0" fontId="0" fillId="0" borderId="28" xfId="0" applyBorder="1" applyAlignment="1">
      <alignment horizontal="center" vertical="center" wrapText="1"/>
    </xf>
    <xf numFmtId="0" fontId="0" fillId="0" borderId="15" xfId="0" applyBorder="1" applyAlignment="1">
      <alignment horizontal="center" vertical="center" wrapText="1"/>
    </xf>
    <xf numFmtId="0" fontId="0" fillId="0" borderId="19" xfId="0" applyBorder="1" applyAlignment="1">
      <alignment horizontal="center" vertical="center" wrapText="1"/>
    </xf>
    <xf numFmtId="0" fontId="0" fillId="0" borderId="17" xfId="0" applyBorder="1" applyAlignment="1">
      <alignment horizontal="center" vertical="center" wrapText="1"/>
    </xf>
    <xf numFmtId="0" fontId="0" fillId="0" borderId="8" xfId="0" applyBorder="1" applyAlignment="1">
      <alignment horizontal="center"/>
    </xf>
    <xf numFmtId="0" fontId="0" fillId="0" borderId="30" xfId="0" applyBorder="1" applyAlignment="1">
      <alignment horizontal="center" vertical="center" wrapText="1"/>
    </xf>
    <xf numFmtId="0" fontId="0" fillId="0" borderId="0" xfId="0" applyAlignment="1">
      <alignment horizontal="center"/>
    </xf>
  </cellXfs>
  <cellStyles count="10">
    <cellStyle name="Bad" xfId="7" builtinId="27"/>
    <cellStyle name="Check Cell" xfId="8" builtinId="23"/>
    <cellStyle name="Explanatory Text" xfId="5" builtinId="53"/>
    <cellStyle name="Good" xfId="2" builtinId="26"/>
    <cellStyle name="Hyperlink" xfId="6" builtinId="8"/>
    <cellStyle name="Input" xfId="3" builtinId="20"/>
    <cellStyle name="Neutral" xfId="1" builtinId="28"/>
    <cellStyle name="Normal" xfId="0" builtinId="0"/>
    <cellStyle name="Note" xfId="4" builtinId="10"/>
    <cellStyle name="Percent" xfId="9"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44</xdr:col>
      <xdr:colOff>203535</xdr:colOff>
      <xdr:row>8</xdr:row>
      <xdr:rowOff>104613</xdr:rowOff>
    </xdr:from>
    <xdr:to>
      <xdr:col>55</xdr:col>
      <xdr:colOff>238919</xdr:colOff>
      <xdr:row>40</xdr:row>
      <xdr:rowOff>162273</xdr:rowOff>
    </xdr:to>
    <xdr:pic>
      <xdr:nvPicPr>
        <xdr:cNvPr id="2" name="Picture 1"/>
        <xdr:cNvPicPr>
          <a:picLocks noChangeAspect="1"/>
        </xdr:cNvPicPr>
      </xdr:nvPicPr>
      <xdr:blipFill>
        <a:blip xmlns:r="http://schemas.openxmlformats.org/officeDocument/2006/relationships" r:embed="rId1"/>
        <a:stretch>
          <a:fillRect/>
        </a:stretch>
      </xdr:blipFill>
      <xdr:spPr>
        <a:xfrm>
          <a:off x="63930712" y="2067091"/>
          <a:ext cx="6719307" cy="65445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6243" name="Button 99" hidden="1">
              <a:extLst>
                <a:ext uri="{63B3BB69-23CF-44E3-9099-C40C66FF867C}">
                  <a14:compatExt spid="_x0000_s6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22</xdr:row>
          <xdr:rowOff>9525</xdr:rowOff>
        </xdr:from>
        <xdr:to>
          <xdr:col>5</xdr:col>
          <xdr:colOff>676275</xdr:colOff>
          <xdr:row>23</xdr:row>
          <xdr:rowOff>19050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E" sz="800" b="0" i="0" u="none" strike="noStrike" baseline="0">
                  <a:solidFill>
                    <a:srgbClr val="000000"/>
                  </a:solidFill>
                  <a:latin typeface="Calibri"/>
                  <a:cs typeface="Calibri"/>
                </a:rPr>
                <a:t>Add devices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omments" Target="../comments11.xml"/><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comments" Target="../comments12.xml"/><Relationship Id="rId4" Type="http://schemas.openxmlformats.org/officeDocument/2006/relationships/ctrlProp" Target="../ctrlProps/ctrlProp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comments" Target="../comments13.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comments" Target="../comments14.xml"/><Relationship Id="rId4" Type="http://schemas.openxmlformats.org/officeDocument/2006/relationships/ctrlProp" Target="../ctrlProps/ctrlProp1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comments" Target="../comments15.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comments" Target="../comments16.xml"/><Relationship Id="rId4" Type="http://schemas.openxmlformats.org/officeDocument/2006/relationships/ctrlProp" Target="../ctrlProps/ctrlProp1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openxmlformats.org/officeDocument/2006/relationships/comments" Target="../comments17.xml"/><Relationship Id="rId4" Type="http://schemas.openxmlformats.org/officeDocument/2006/relationships/ctrlProp" Target="../ctrlProps/ctrlProp1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comments" Target="../comments18.xml"/><Relationship Id="rId4" Type="http://schemas.openxmlformats.org/officeDocument/2006/relationships/ctrlProp" Target="../ctrlProps/ctrlProp1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openxmlformats.org/officeDocument/2006/relationships/comments" Target="../comments19.xml"/><Relationship Id="rId4" Type="http://schemas.openxmlformats.org/officeDocument/2006/relationships/ctrlProp" Target="../ctrlProps/ctrlProp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7"/>
  <sheetViews>
    <sheetView workbookViewId="0">
      <selection activeCell="F21" sqref="F21"/>
    </sheetView>
  </sheetViews>
  <sheetFormatPr defaultRowHeight="15" x14ac:dyDescent="0.25"/>
  <cols>
    <col min="1" max="4" width="9.140625" style="30"/>
    <col min="5" max="5" width="13.85546875" style="30" customWidth="1"/>
    <col min="6" max="16384" width="9.140625" style="30"/>
  </cols>
  <sheetData>
    <row r="1" spans="1:3" x14ac:dyDescent="0.25">
      <c r="A1" s="30" t="s">
        <v>218</v>
      </c>
      <c r="C1" s="69" t="s">
        <v>219</v>
      </c>
    </row>
    <row r="2" spans="1:3" x14ac:dyDescent="0.25">
      <c r="C2" s="70" t="s">
        <v>73</v>
      </c>
    </row>
    <row r="3" spans="1:3" x14ac:dyDescent="0.25">
      <c r="C3" s="70" t="s">
        <v>74</v>
      </c>
    </row>
    <row r="4" spans="1:3" x14ac:dyDescent="0.25">
      <c r="C4" s="70" t="s">
        <v>75</v>
      </c>
    </row>
    <row r="5" spans="1:3" x14ac:dyDescent="0.25">
      <c r="C5" s="70" t="s">
        <v>76</v>
      </c>
    </row>
    <row r="6" spans="1:3" x14ac:dyDescent="0.25">
      <c r="C6" s="70" t="s">
        <v>220</v>
      </c>
    </row>
    <row r="7" spans="1:3" x14ac:dyDescent="0.25">
      <c r="C7" s="68"/>
    </row>
    <row r="8" spans="1:3" x14ac:dyDescent="0.25">
      <c r="C8" s="68"/>
    </row>
    <row r="9" spans="1:3" x14ac:dyDescent="0.25">
      <c r="C9" s="68" t="s">
        <v>77</v>
      </c>
    </row>
    <row r="10" spans="1:3" x14ac:dyDescent="0.25">
      <c r="C10" s="68"/>
    </row>
    <row r="11" spans="1:3" x14ac:dyDescent="0.25">
      <c r="C11" s="68"/>
    </row>
    <row r="12" spans="1:3" x14ac:dyDescent="0.25">
      <c r="C12" s="68"/>
    </row>
    <row r="14" spans="1:3" x14ac:dyDescent="0.25">
      <c r="C14" s="68"/>
    </row>
    <row r="15" spans="1:3" x14ac:dyDescent="0.25">
      <c r="C15" s="68"/>
    </row>
    <row r="16" spans="1:3" x14ac:dyDescent="0.25">
      <c r="C16" s="68"/>
    </row>
    <row r="18" spans="3:25" x14ac:dyDescent="0.25">
      <c r="C18" s="234" t="s">
        <v>221</v>
      </c>
      <c r="D18" s="234"/>
      <c r="E18" s="234"/>
      <c r="F18" s="77" t="s">
        <v>222</v>
      </c>
      <c r="G18" s="78"/>
      <c r="H18" s="78"/>
      <c r="I18" s="78"/>
      <c r="J18" s="78"/>
      <c r="K18" s="78"/>
      <c r="L18" s="78"/>
      <c r="M18" s="78"/>
      <c r="N18" s="78"/>
      <c r="O18" s="78"/>
      <c r="P18" s="78"/>
      <c r="Q18" s="78"/>
      <c r="R18" s="78"/>
      <c r="S18" s="78"/>
      <c r="T18" s="78"/>
      <c r="U18" s="78"/>
      <c r="V18" s="78"/>
      <c r="W18" s="78"/>
      <c r="X18" s="78"/>
      <c r="Y18" s="79"/>
    </row>
    <row r="19" spans="3:25" x14ac:dyDescent="0.25">
      <c r="C19" s="234" t="s">
        <v>223</v>
      </c>
      <c r="D19" s="234"/>
      <c r="E19" s="234"/>
      <c r="F19" s="71" t="s">
        <v>226</v>
      </c>
      <c r="G19" s="72"/>
      <c r="H19" s="72"/>
      <c r="I19" s="72"/>
      <c r="J19" s="72"/>
      <c r="K19" s="72"/>
      <c r="L19" s="72"/>
      <c r="M19" s="72"/>
      <c r="N19" s="72"/>
      <c r="O19" s="72"/>
      <c r="P19" s="72"/>
      <c r="Q19" s="72"/>
      <c r="R19" s="72"/>
      <c r="S19" s="72"/>
      <c r="T19" s="72"/>
      <c r="U19" s="72"/>
      <c r="V19" s="72"/>
      <c r="W19" s="72"/>
      <c r="X19" s="72"/>
      <c r="Y19" s="73"/>
    </row>
    <row r="20" spans="3:25" x14ac:dyDescent="0.25">
      <c r="C20" s="234"/>
      <c r="D20" s="234"/>
      <c r="E20" s="234"/>
      <c r="F20" s="80" t="s">
        <v>595</v>
      </c>
      <c r="G20" s="81"/>
      <c r="H20" s="81"/>
      <c r="I20" s="81"/>
      <c r="J20" s="81"/>
      <c r="K20" s="81"/>
      <c r="L20" s="81"/>
      <c r="M20" s="81"/>
      <c r="N20" s="81"/>
      <c r="O20" s="81"/>
      <c r="P20" s="81"/>
      <c r="Q20" s="81"/>
      <c r="R20" s="81"/>
      <c r="S20" s="81"/>
      <c r="T20" s="81"/>
      <c r="U20" s="81"/>
      <c r="V20" s="81"/>
      <c r="W20" s="81"/>
      <c r="X20" s="81"/>
      <c r="Y20" s="82"/>
    </row>
    <row r="21" spans="3:25" x14ac:dyDescent="0.25">
      <c r="C21" s="235" t="s">
        <v>227</v>
      </c>
      <c r="D21" s="236"/>
      <c r="E21" s="236"/>
      <c r="F21" s="71" t="s">
        <v>228</v>
      </c>
      <c r="G21" s="72"/>
      <c r="H21" s="72"/>
      <c r="I21" s="72"/>
      <c r="J21" s="72"/>
      <c r="K21" s="72"/>
      <c r="L21" s="72"/>
      <c r="M21" s="72"/>
      <c r="N21" s="72"/>
      <c r="O21" s="72"/>
      <c r="P21" s="72"/>
      <c r="Q21" s="72"/>
      <c r="R21" s="72"/>
      <c r="S21" s="72"/>
      <c r="T21" s="72"/>
      <c r="U21" s="72"/>
      <c r="V21" s="72"/>
      <c r="W21" s="72"/>
      <c r="X21" s="72"/>
      <c r="Y21" s="73"/>
    </row>
    <row r="22" spans="3:25" x14ac:dyDescent="0.25">
      <c r="C22" s="237"/>
      <c r="D22" s="238"/>
      <c r="E22" s="238"/>
      <c r="F22" s="74" t="s">
        <v>229</v>
      </c>
      <c r="G22" s="75"/>
      <c r="H22" s="75"/>
      <c r="I22" s="75"/>
      <c r="J22" s="75"/>
      <c r="K22" s="75"/>
      <c r="L22" s="75"/>
      <c r="M22" s="75"/>
      <c r="N22" s="75"/>
      <c r="O22" s="75"/>
      <c r="P22" s="75"/>
      <c r="Q22" s="75"/>
      <c r="R22" s="75"/>
      <c r="S22" s="75"/>
      <c r="T22" s="75"/>
      <c r="U22" s="75"/>
      <c r="V22" s="75"/>
      <c r="W22" s="75"/>
      <c r="X22" s="75"/>
      <c r="Y22" s="76"/>
    </row>
    <row r="23" spans="3:25" x14ac:dyDescent="0.25">
      <c r="C23" s="239" t="s">
        <v>230</v>
      </c>
      <c r="D23" s="240"/>
      <c r="E23" s="241"/>
      <c r="F23" s="77" t="s">
        <v>231</v>
      </c>
      <c r="G23" s="78"/>
      <c r="H23" s="78"/>
      <c r="I23" s="78"/>
      <c r="J23" s="78"/>
      <c r="K23" s="78"/>
      <c r="L23" s="78"/>
      <c r="M23" s="78"/>
      <c r="N23" s="78"/>
      <c r="O23" s="78"/>
      <c r="P23" s="78"/>
      <c r="Q23" s="78"/>
      <c r="R23" s="78"/>
      <c r="S23" s="78"/>
      <c r="T23" s="78"/>
      <c r="U23" s="78"/>
      <c r="V23" s="78"/>
      <c r="W23" s="78"/>
      <c r="X23" s="78"/>
      <c r="Y23" s="79"/>
    </row>
    <row r="24" spans="3:25" x14ac:dyDescent="0.25">
      <c r="C24" s="234" t="s">
        <v>224</v>
      </c>
      <c r="D24" s="234"/>
      <c r="E24" s="234"/>
      <c r="F24" s="80" t="s">
        <v>594</v>
      </c>
      <c r="G24" s="81"/>
      <c r="H24" s="81"/>
      <c r="I24" s="81"/>
      <c r="J24" s="81"/>
      <c r="K24" s="81"/>
      <c r="L24" s="81"/>
      <c r="M24" s="81"/>
      <c r="N24" s="81"/>
      <c r="O24" s="81"/>
      <c r="P24" s="81"/>
      <c r="Q24" s="81"/>
      <c r="R24" s="81"/>
      <c r="S24" s="81"/>
      <c r="T24" s="81"/>
      <c r="U24" s="81"/>
      <c r="V24" s="81"/>
      <c r="W24" s="81"/>
      <c r="X24" s="81"/>
      <c r="Y24" s="82"/>
    </row>
    <row r="25" spans="3:25" x14ac:dyDescent="0.25">
      <c r="C25" s="234"/>
      <c r="D25" s="234"/>
      <c r="E25" s="234"/>
      <c r="F25" s="74" t="s">
        <v>225</v>
      </c>
      <c r="G25" s="75"/>
      <c r="H25" s="75"/>
      <c r="I25" s="75"/>
      <c r="J25" s="75"/>
      <c r="K25" s="75"/>
      <c r="L25" s="75"/>
      <c r="M25" s="75"/>
      <c r="N25" s="75"/>
      <c r="O25" s="75"/>
      <c r="P25" s="75"/>
      <c r="Q25" s="75"/>
      <c r="R25" s="75"/>
      <c r="S25" s="75"/>
      <c r="T25" s="75"/>
      <c r="U25" s="75"/>
      <c r="V25" s="75"/>
      <c r="W25" s="75"/>
      <c r="X25" s="75"/>
      <c r="Y25" s="76"/>
    </row>
    <row r="26" spans="3:25" x14ac:dyDescent="0.25">
      <c r="C26" s="231" t="s">
        <v>253</v>
      </c>
      <c r="D26" s="232"/>
      <c r="E26" s="233"/>
      <c r="F26" s="77" t="s">
        <v>241</v>
      </c>
      <c r="G26" s="78"/>
      <c r="H26" s="78"/>
      <c r="I26" s="78"/>
      <c r="J26" s="78"/>
      <c r="K26" s="78"/>
      <c r="L26" s="78"/>
      <c r="M26" s="78"/>
      <c r="N26" s="78"/>
      <c r="O26" s="78"/>
      <c r="P26" s="78"/>
      <c r="Q26" s="78"/>
      <c r="R26" s="78"/>
      <c r="S26" s="78"/>
      <c r="T26" s="78"/>
      <c r="U26" s="78"/>
      <c r="V26" s="78"/>
      <c r="W26" s="78"/>
      <c r="X26" s="78"/>
      <c r="Y26" s="79"/>
    </row>
    <row r="27" spans="3:25" x14ac:dyDescent="0.25">
      <c r="C27" s="228" t="s">
        <v>591</v>
      </c>
      <c r="D27" s="229"/>
      <c r="E27" s="230"/>
      <c r="F27" s="77" t="s">
        <v>593</v>
      </c>
      <c r="G27" s="78"/>
      <c r="H27" s="78"/>
      <c r="I27" s="78"/>
      <c r="J27" s="78"/>
      <c r="K27" s="78"/>
      <c r="L27" s="78"/>
      <c r="M27" s="78"/>
      <c r="N27" s="78"/>
      <c r="O27" s="78"/>
      <c r="P27" s="78"/>
      <c r="Q27" s="78"/>
      <c r="R27" s="78"/>
      <c r="S27" s="78"/>
      <c r="T27" s="78"/>
      <c r="U27" s="78"/>
      <c r="V27" s="78"/>
      <c r="W27" s="78"/>
      <c r="X27" s="78"/>
      <c r="Y27" s="79"/>
    </row>
  </sheetData>
  <mergeCells count="7">
    <mergeCell ref="C27:E27"/>
    <mergeCell ref="C26:E26"/>
    <mergeCell ref="C19:E20"/>
    <mergeCell ref="C18:E18"/>
    <mergeCell ref="C24:E25"/>
    <mergeCell ref="C21:E22"/>
    <mergeCell ref="C23:E23"/>
  </mergeCells>
  <hyperlinks>
    <hyperlink ref="C18" location="'Traffic&amp;Service Profiles'!A1" display="Traffic and Service Profiles"/>
    <hyperlink ref="C19" location="'IMEI TAC Database'!A1" display="IMEI TAC Database"/>
    <hyperlink ref="C24" location="'Country Frequency Mappings(lic)'!A1" display="Country Frequency Mappings"/>
    <hyperlink ref="C23:E23" location="'ServiceCat to Device Mapping'!A1" display="ServiceCat to Device Mapping"/>
    <hyperlink ref="C26:E26" location="'Slice parameter population'!A1" display="Slice parameter population"/>
    <hyperlink ref="C27:E27" location="UltraLowCostConnectivity!_Toc4497322" display="S-NESTS"/>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0.34998626667073579"/>
  </sheetPr>
  <dimension ref="A1:AQ29"/>
  <sheetViews>
    <sheetView zoomScale="116" zoomScaleNormal="106" workbookViewId="0">
      <pane xSplit="1" topLeftCell="B1" activePane="topRight" state="frozen"/>
      <selection pane="topRight" activeCell="A3" sqref="A3:A27"/>
    </sheetView>
  </sheetViews>
  <sheetFormatPr defaultRowHeight="15" x14ac:dyDescent="0.25"/>
  <cols>
    <col min="1" max="1" width="54.42578125" bestFit="1" customWidth="1"/>
    <col min="2" max="2" width="39.140625" customWidth="1"/>
    <col min="3" max="3" width="33.5703125" bestFit="1" customWidth="1"/>
    <col min="4" max="4" width="30.5703125" bestFit="1" customWidth="1"/>
    <col min="5" max="5" width="17.5703125" style="1" bestFit="1" customWidth="1"/>
    <col min="6" max="6" width="15" style="1" bestFit="1" customWidth="1"/>
    <col min="7" max="7" width="21.7109375" style="1" bestFit="1" customWidth="1"/>
    <col min="8" max="8" width="36.140625" style="1" customWidth="1"/>
    <col min="9" max="9" width="21.7109375" style="1" customWidth="1"/>
    <col min="10" max="10" width="19.7109375" style="1" bestFit="1" customWidth="1"/>
    <col min="11" max="12" width="25.28515625" style="116" customWidth="1"/>
    <col min="13" max="13" width="30.7109375" style="116" bestFit="1" customWidth="1"/>
    <col min="14" max="14" width="25.28515625" style="116" customWidth="1"/>
    <col min="15" max="15" width="25.28515625" bestFit="1" customWidth="1"/>
    <col min="16" max="16" width="25.28515625" style="109" customWidth="1"/>
    <col min="17" max="17" width="10.42578125" bestFit="1" customWidth="1"/>
    <col min="18" max="18" width="30.42578125" style="132" bestFit="1" customWidth="1"/>
    <col min="20" max="20" width="17.85546875" bestFit="1" customWidth="1"/>
    <col min="21" max="21" width="4.85546875" bestFit="1" customWidth="1"/>
    <col min="22" max="22" width="16.7109375" style="109" bestFit="1" customWidth="1"/>
    <col min="23" max="23" width="11.140625" bestFit="1" customWidth="1"/>
    <col min="24" max="24" width="39.7109375" bestFit="1" customWidth="1"/>
    <col min="25" max="25" width="26.7109375" bestFit="1" customWidth="1"/>
    <col min="26" max="26" width="18" style="90" customWidth="1"/>
    <col min="27" max="27" width="31" customWidth="1"/>
    <col min="28" max="28" width="33.42578125" style="110" bestFit="1" customWidth="1"/>
    <col min="29" max="29" width="33.42578125" style="125" customWidth="1"/>
    <col min="30" max="30" width="19.5703125" customWidth="1"/>
    <col min="31" max="31" width="16.42578125" bestFit="1" customWidth="1"/>
    <col min="32" max="32" width="12.7109375" style="110" bestFit="1" customWidth="1"/>
    <col min="33" max="33" width="28.42578125" style="110" bestFit="1" customWidth="1"/>
    <col min="34" max="34" width="14.5703125" style="125" bestFit="1" customWidth="1"/>
    <col min="35" max="35" width="13.7109375" style="126" customWidth="1"/>
    <col min="36" max="36" width="9.140625" style="125"/>
    <col min="38" max="38" width="25.85546875" bestFit="1" customWidth="1"/>
    <col min="39" max="39" width="20.5703125" customWidth="1"/>
    <col min="40" max="40" width="19.85546875" bestFit="1" customWidth="1"/>
    <col min="41" max="41" width="9.5703125" style="148" bestFit="1" customWidth="1"/>
    <col min="42" max="42" width="29.140625" style="200" bestFit="1" customWidth="1"/>
    <col min="43" max="43" width="19.85546875" bestFit="1" customWidth="1"/>
  </cols>
  <sheetData>
    <row r="1" spans="1:43" ht="25.5" customHeight="1" thickBot="1" x14ac:dyDescent="0.3">
      <c r="A1" s="2" t="s">
        <v>24</v>
      </c>
      <c r="B1" s="2" t="s">
        <v>7</v>
      </c>
      <c r="C1" s="37" t="s">
        <v>91</v>
      </c>
      <c r="D1" s="37" t="s">
        <v>92</v>
      </c>
      <c r="E1" s="38" t="s">
        <v>89</v>
      </c>
      <c r="F1" s="38" t="s">
        <v>93</v>
      </c>
      <c r="G1" s="36" t="s">
        <v>94</v>
      </c>
      <c r="H1" s="38" t="s">
        <v>105</v>
      </c>
      <c r="I1" s="243" t="s">
        <v>233</v>
      </c>
      <c r="J1" s="244"/>
      <c r="K1" s="242" t="s">
        <v>279</v>
      </c>
      <c r="L1" s="242" t="s">
        <v>318</v>
      </c>
      <c r="M1" s="242" t="s">
        <v>328</v>
      </c>
      <c r="N1" s="242" t="s">
        <v>327</v>
      </c>
      <c r="O1" s="242" t="s">
        <v>200</v>
      </c>
      <c r="P1" s="242" t="s">
        <v>288</v>
      </c>
      <c r="Q1" s="242" t="s">
        <v>201</v>
      </c>
      <c r="R1" s="242" t="s">
        <v>202</v>
      </c>
      <c r="S1" s="242" t="s">
        <v>203</v>
      </c>
      <c r="T1" s="242" t="s">
        <v>204</v>
      </c>
      <c r="U1" s="242" t="s">
        <v>207</v>
      </c>
      <c r="V1" s="242" t="s">
        <v>300</v>
      </c>
      <c r="W1" s="242" t="s">
        <v>208</v>
      </c>
      <c r="X1" s="242" t="s">
        <v>209</v>
      </c>
      <c r="Y1" s="242" t="s">
        <v>214</v>
      </c>
      <c r="Z1" s="242" t="s">
        <v>281</v>
      </c>
      <c r="AA1" s="242" t="s">
        <v>295</v>
      </c>
      <c r="AB1" s="242" t="s">
        <v>296</v>
      </c>
      <c r="AC1" s="242" t="s">
        <v>334</v>
      </c>
      <c r="AD1" s="242" t="s">
        <v>216</v>
      </c>
      <c r="AE1" s="242" t="s">
        <v>282</v>
      </c>
      <c r="AF1" s="242" t="s">
        <v>286</v>
      </c>
      <c r="AG1" s="242" t="s">
        <v>291</v>
      </c>
      <c r="AH1" s="242" t="s">
        <v>275</v>
      </c>
      <c r="AI1" s="242" t="s">
        <v>280</v>
      </c>
      <c r="AJ1" s="242" t="s">
        <v>313</v>
      </c>
      <c r="AK1" s="242" t="s">
        <v>500</v>
      </c>
      <c r="AL1" s="242" t="s">
        <v>531</v>
      </c>
      <c r="AM1" s="242" t="s">
        <v>533</v>
      </c>
      <c r="AN1" s="242" t="s">
        <v>534</v>
      </c>
      <c r="AO1" s="242" t="s">
        <v>535</v>
      </c>
      <c r="AP1" s="242" t="s">
        <v>577</v>
      </c>
      <c r="AQ1" s="242" t="s">
        <v>584</v>
      </c>
    </row>
    <row r="2" spans="1:43" ht="25.5" customHeight="1" thickTop="1" x14ac:dyDescent="0.25">
      <c r="A2" s="32"/>
      <c r="B2" s="32"/>
      <c r="C2" s="35"/>
      <c r="D2" s="35"/>
      <c r="E2" s="34"/>
      <c r="F2" s="33"/>
      <c r="G2" s="33"/>
      <c r="H2" s="34"/>
      <c r="I2" s="34" t="s">
        <v>97</v>
      </c>
      <c r="J2" s="34" t="s">
        <v>98</v>
      </c>
      <c r="K2" s="245"/>
      <c r="L2" s="245"/>
      <c r="M2" s="245"/>
      <c r="N2" s="245"/>
      <c r="O2" s="242"/>
      <c r="P2" s="245"/>
      <c r="Q2" s="242"/>
      <c r="R2" s="242"/>
      <c r="S2" s="242"/>
      <c r="T2" s="242"/>
      <c r="U2" s="242"/>
      <c r="V2" s="242"/>
      <c r="W2" s="242"/>
      <c r="X2" s="242"/>
      <c r="Y2" s="242"/>
      <c r="Z2" s="242"/>
      <c r="AA2" s="242"/>
      <c r="AB2" s="242"/>
      <c r="AC2" s="242"/>
      <c r="AD2" s="242"/>
      <c r="AE2" s="242"/>
      <c r="AF2" s="242"/>
      <c r="AG2" s="242"/>
      <c r="AH2" s="242"/>
      <c r="AI2" s="242"/>
      <c r="AJ2" s="242"/>
      <c r="AK2" s="242"/>
      <c r="AL2" s="242"/>
      <c r="AM2" s="242"/>
      <c r="AN2" s="242"/>
      <c r="AO2" s="242"/>
      <c r="AP2" s="242"/>
      <c r="AQ2" s="242"/>
    </row>
    <row r="3" spans="1:43" ht="18" customHeight="1" x14ac:dyDescent="0.25">
      <c r="A3" s="40" t="s">
        <v>8</v>
      </c>
      <c r="B3" s="31" t="s">
        <v>9</v>
      </c>
      <c r="C3" s="41">
        <v>50000000</v>
      </c>
      <c r="D3" s="31">
        <v>25000000</v>
      </c>
      <c r="E3" s="25">
        <v>10</v>
      </c>
      <c r="F3" s="25" t="s">
        <v>5</v>
      </c>
      <c r="G3" s="25">
        <v>120</v>
      </c>
      <c r="H3" s="25">
        <v>400</v>
      </c>
      <c r="I3" s="25" t="s">
        <v>83</v>
      </c>
      <c r="J3" s="25" t="s">
        <v>85</v>
      </c>
      <c r="K3" s="115" t="s">
        <v>6</v>
      </c>
      <c r="L3" s="115" t="s">
        <v>274</v>
      </c>
      <c r="M3" s="115" t="s">
        <v>274</v>
      </c>
      <c r="N3" s="115" t="s">
        <v>274</v>
      </c>
      <c r="O3" s="67" t="s">
        <v>6</v>
      </c>
      <c r="P3" s="108" t="s">
        <v>274</v>
      </c>
      <c r="Q3" s="67" t="s">
        <v>6</v>
      </c>
      <c r="R3" s="130" t="s">
        <v>6</v>
      </c>
      <c r="S3" s="67" t="s">
        <v>6</v>
      </c>
      <c r="T3" s="67" t="s">
        <v>6</v>
      </c>
      <c r="U3" s="67" t="s">
        <v>6</v>
      </c>
      <c r="V3" s="108" t="s">
        <v>274</v>
      </c>
      <c r="W3" s="67" t="s">
        <v>6</v>
      </c>
      <c r="X3" s="41" t="s">
        <v>210</v>
      </c>
      <c r="Y3" s="25" t="s">
        <v>6</v>
      </c>
      <c r="Z3" s="25" t="s">
        <v>6</v>
      </c>
      <c r="AA3" s="25" t="s">
        <v>6</v>
      </c>
      <c r="AB3" s="123" t="s">
        <v>274</v>
      </c>
      <c r="AC3" s="123">
        <v>0.11</v>
      </c>
      <c r="AD3" s="40"/>
      <c r="AE3" s="108" t="s">
        <v>283</v>
      </c>
      <c r="AF3" s="25" t="s">
        <v>6</v>
      </c>
      <c r="AG3" s="25" t="s">
        <v>292</v>
      </c>
      <c r="AH3" s="25" t="s">
        <v>274</v>
      </c>
      <c r="AI3" s="123">
        <v>6</v>
      </c>
      <c r="AJ3" s="25" t="s">
        <v>314</v>
      </c>
      <c r="AK3" s="25">
        <v>0.2</v>
      </c>
      <c r="AL3" s="107" t="s">
        <v>538</v>
      </c>
      <c r="AM3" s="169" t="s">
        <v>6</v>
      </c>
      <c r="AN3" s="166" t="s">
        <v>536</v>
      </c>
      <c r="AO3" s="169" t="s">
        <v>5</v>
      </c>
      <c r="AP3" s="201" t="s">
        <v>578</v>
      </c>
      <c r="AQ3" s="201" t="s">
        <v>585</v>
      </c>
    </row>
    <row r="4" spans="1:43" ht="18" customHeight="1" x14ac:dyDescent="0.25">
      <c r="A4" s="40" t="s">
        <v>10</v>
      </c>
      <c r="B4" s="31" t="s">
        <v>12</v>
      </c>
      <c r="C4" s="25">
        <v>100000</v>
      </c>
      <c r="D4" s="25">
        <v>100000</v>
      </c>
      <c r="E4" s="25">
        <v>3000</v>
      </c>
      <c r="F4" s="25" t="s">
        <v>5</v>
      </c>
      <c r="G4" s="25">
        <v>500</v>
      </c>
      <c r="H4" s="25">
        <v>200000</v>
      </c>
      <c r="I4" s="25"/>
      <c r="J4" s="25"/>
      <c r="K4" s="115" t="s">
        <v>5</v>
      </c>
      <c r="L4" s="115" t="s">
        <v>322</v>
      </c>
      <c r="M4" s="115">
        <v>1</v>
      </c>
      <c r="N4" s="115">
        <v>100</v>
      </c>
      <c r="O4" s="67" t="s">
        <v>6</v>
      </c>
      <c r="P4" s="108" t="s">
        <v>274</v>
      </c>
      <c r="Q4" s="67" t="s">
        <v>6</v>
      </c>
      <c r="R4" s="130" t="s">
        <v>6</v>
      </c>
      <c r="S4" s="67" t="s">
        <v>6</v>
      </c>
      <c r="T4" s="67" t="s">
        <v>206</v>
      </c>
      <c r="U4" s="67" t="s">
        <v>6</v>
      </c>
      <c r="V4" s="108" t="s">
        <v>274</v>
      </c>
      <c r="W4" s="67" t="s">
        <v>6</v>
      </c>
      <c r="X4" s="41" t="s">
        <v>210</v>
      </c>
      <c r="Y4" s="25" t="s">
        <v>6</v>
      </c>
      <c r="Z4" s="25" t="s">
        <v>6</v>
      </c>
      <c r="AA4" s="25" t="s">
        <v>5</v>
      </c>
      <c r="AB4" s="123">
        <v>60</v>
      </c>
      <c r="AC4" s="123">
        <v>0.2</v>
      </c>
      <c r="AD4" s="40"/>
      <c r="AE4" s="108" t="s">
        <v>283</v>
      </c>
      <c r="AF4" s="25" t="s">
        <v>6</v>
      </c>
      <c r="AG4" s="25" t="s">
        <v>292</v>
      </c>
      <c r="AH4" s="25" t="s">
        <v>274</v>
      </c>
      <c r="AI4" s="123">
        <v>6</v>
      </c>
      <c r="AJ4" s="25" t="s">
        <v>315</v>
      </c>
      <c r="AK4" s="25">
        <v>0.1</v>
      </c>
      <c r="AL4" s="107" t="s">
        <v>538</v>
      </c>
      <c r="AM4" s="169" t="s">
        <v>5</v>
      </c>
      <c r="AN4" s="166" t="s">
        <v>536</v>
      </c>
      <c r="AO4" s="169" t="s">
        <v>5</v>
      </c>
      <c r="AP4" s="201" t="s">
        <v>578</v>
      </c>
      <c r="AQ4" s="201" t="s">
        <v>585</v>
      </c>
    </row>
    <row r="5" spans="1:43" ht="18.75" customHeight="1" x14ac:dyDescent="0.25">
      <c r="A5" s="40" t="s">
        <v>11</v>
      </c>
      <c r="B5" s="31" t="s">
        <v>12</v>
      </c>
      <c r="C5" s="25">
        <v>100000</v>
      </c>
      <c r="D5" s="25">
        <v>100000</v>
      </c>
      <c r="E5" s="25">
        <v>3000</v>
      </c>
      <c r="F5" s="25" t="s">
        <v>6</v>
      </c>
      <c r="G5" s="25">
        <v>500</v>
      </c>
      <c r="H5" s="25">
        <v>200000</v>
      </c>
      <c r="I5" s="25"/>
      <c r="J5" s="25"/>
      <c r="K5" s="115" t="s">
        <v>6</v>
      </c>
      <c r="L5" s="115" t="s">
        <v>322</v>
      </c>
      <c r="M5" s="115">
        <v>60</v>
      </c>
      <c r="N5" s="115">
        <v>100</v>
      </c>
      <c r="O5" s="67" t="s">
        <v>6</v>
      </c>
      <c r="P5" s="108" t="s">
        <v>274</v>
      </c>
      <c r="Q5" s="67" t="s">
        <v>6</v>
      </c>
      <c r="R5" s="130" t="s">
        <v>6</v>
      </c>
      <c r="S5" s="67" t="s">
        <v>6</v>
      </c>
      <c r="T5" s="67" t="s">
        <v>205</v>
      </c>
      <c r="U5" s="67" t="s">
        <v>6</v>
      </c>
      <c r="V5" s="108" t="s">
        <v>274</v>
      </c>
      <c r="W5" s="67" t="s">
        <v>6</v>
      </c>
      <c r="X5" s="41" t="s">
        <v>213</v>
      </c>
      <c r="Y5" s="25" t="s">
        <v>6</v>
      </c>
      <c r="Z5" s="25" t="s">
        <v>6</v>
      </c>
      <c r="AA5" s="25" t="s">
        <v>5</v>
      </c>
      <c r="AB5" s="123">
        <v>300</v>
      </c>
      <c r="AC5" s="123">
        <v>0.2</v>
      </c>
      <c r="AD5" s="40"/>
      <c r="AE5" s="108" t="s">
        <v>283</v>
      </c>
      <c r="AF5" s="25" t="s">
        <v>6</v>
      </c>
      <c r="AG5" s="25" t="s">
        <v>292</v>
      </c>
      <c r="AH5" s="25" t="s">
        <v>274</v>
      </c>
      <c r="AI5" s="123">
        <v>6</v>
      </c>
      <c r="AJ5" s="25" t="s">
        <v>315</v>
      </c>
      <c r="AK5" s="25">
        <v>0.1</v>
      </c>
      <c r="AL5" s="107" t="s">
        <v>538</v>
      </c>
      <c r="AM5" s="169" t="s">
        <v>5</v>
      </c>
      <c r="AN5" s="166" t="s">
        <v>536</v>
      </c>
      <c r="AO5" s="169" t="s">
        <v>5</v>
      </c>
      <c r="AP5" s="201" t="s">
        <v>578</v>
      </c>
      <c r="AQ5" s="201" t="s">
        <v>585</v>
      </c>
    </row>
    <row r="6" spans="1:43" ht="17.25" customHeight="1" x14ac:dyDescent="0.25">
      <c r="A6" s="40" t="s">
        <v>13</v>
      </c>
      <c r="B6" s="31" t="s">
        <v>90</v>
      </c>
      <c r="C6" s="31">
        <v>300000000</v>
      </c>
      <c r="D6" s="44">
        <v>50000000</v>
      </c>
      <c r="E6" s="25">
        <v>10</v>
      </c>
      <c r="F6" s="25" t="s">
        <v>5</v>
      </c>
      <c r="G6" s="25">
        <v>100</v>
      </c>
      <c r="H6" s="25">
        <v>2500</v>
      </c>
      <c r="I6" s="25" t="s">
        <v>87</v>
      </c>
      <c r="J6" s="25" t="s">
        <v>88</v>
      </c>
      <c r="K6" s="115" t="s">
        <v>6</v>
      </c>
      <c r="L6" s="123" t="s">
        <v>274</v>
      </c>
      <c r="M6" s="123" t="s">
        <v>274</v>
      </c>
      <c r="N6" s="123" t="s">
        <v>274</v>
      </c>
      <c r="O6" s="67" t="s">
        <v>6</v>
      </c>
      <c r="P6" s="108" t="s">
        <v>274</v>
      </c>
      <c r="Q6" s="67" t="s">
        <v>6</v>
      </c>
      <c r="R6" s="130" t="s">
        <v>6</v>
      </c>
      <c r="S6" s="67" t="s">
        <v>6</v>
      </c>
      <c r="T6" s="67" t="s">
        <v>6</v>
      </c>
      <c r="U6" s="67" t="s">
        <v>6</v>
      </c>
      <c r="V6" s="108" t="s">
        <v>274</v>
      </c>
      <c r="W6" s="67" t="s">
        <v>6</v>
      </c>
      <c r="X6" s="41" t="s">
        <v>210</v>
      </c>
      <c r="Y6" s="25" t="s">
        <v>6</v>
      </c>
      <c r="Z6" s="25" t="s">
        <v>6</v>
      </c>
      <c r="AA6" s="25" t="s">
        <v>6</v>
      </c>
      <c r="AB6" s="123" t="s">
        <v>274</v>
      </c>
      <c r="AC6" s="123">
        <v>6</v>
      </c>
      <c r="AD6" s="40"/>
      <c r="AE6" s="108" t="s">
        <v>283</v>
      </c>
      <c r="AF6" s="25" t="s">
        <v>5</v>
      </c>
      <c r="AG6" s="25" t="s">
        <v>292</v>
      </c>
      <c r="AH6" s="25" t="s">
        <v>274</v>
      </c>
      <c r="AI6" s="123">
        <v>7</v>
      </c>
      <c r="AJ6" s="25" t="s">
        <v>314</v>
      </c>
      <c r="AK6" s="25">
        <v>0.1</v>
      </c>
      <c r="AL6" s="107" t="s">
        <v>538</v>
      </c>
      <c r="AM6" s="169" t="s">
        <v>6</v>
      </c>
      <c r="AN6" s="166" t="s">
        <v>536</v>
      </c>
      <c r="AO6" s="169" t="s">
        <v>5</v>
      </c>
      <c r="AP6" s="202" t="s">
        <v>579</v>
      </c>
      <c r="AQ6" s="201" t="s">
        <v>274</v>
      </c>
    </row>
    <row r="7" spans="1:43" ht="16.5" customHeight="1" x14ac:dyDescent="0.25">
      <c r="A7" s="40" t="s">
        <v>14</v>
      </c>
      <c r="B7" s="31" t="s">
        <v>90</v>
      </c>
      <c r="C7" s="43">
        <v>300000000</v>
      </c>
      <c r="D7" s="44">
        <v>50000000</v>
      </c>
      <c r="E7" s="25">
        <v>10</v>
      </c>
      <c r="F7" s="25" t="s">
        <v>5</v>
      </c>
      <c r="G7" s="25">
        <v>100</v>
      </c>
      <c r="H7" s="25">
        <v>2500</v>
      </c>
      <c r="I7" s="25" t="s">
        <v>87</v>
      </c>
      <c r="J7" s="25" t="s">
        <v>88</v>
      </c>
      <c r="K7" s="115" t="s">
        <v>6</v>
      </c>
      <c r="L7" s="123" t="s">
        <v>274</v>
      </c>
      <c r="M7" s="123" t="s">
        <v>274</v>
      </c>
      <c r="N7" s="123" t="s">
        <v>274</v>
      </c>
      <c r="O7" s="67" t="s">
        <v>6</v>
      </c>
      <c r="P7" s="108" t="s">
        <v>274</v>
      </c>
      <c r="Q7" s="67" t="s">
        <v>6</v>
      </c>
      <c r="R7" s="130" t="s">
        <v>6</v>
      </c>
      <c r="S7" s="67" t="s">
        <v>6</v>
      </c>
      <c r="T7" s="67" t="s">
        <v>6</v>
      </c>
      <c r="U7" s="67" t="s">
        <v>6</v>
      </c>
      <c r="V7" s="108" t="s">
        <v>274</v>
      </c>
      <c r="W7" s="67" t="s">
        <v>6</v>
      </c>
      <c r="X7" s="41" t="s">
        <v>210</v>
      </c>
      <c r="Y7" s="25" t="s">
        <v>6</v>
      </c>
      <c r="Z7" s="25" t="s">
        <v>5</v>
      </c>
      <c r="AA7" s="25" t="s">
        <v>6</v>
      </c>
      <c r="AB7" s="123" t="s">
        <v>274</v>
      </c>
      <c r="AC7" s="123">
        <v>4</v>
      </c>
      <c r="AD7" s="40"/>
      <c r="AE7" s="108" t="s">
        <v>283</v>
      </c>
      <c r="AF7" s="25" t="s">
        <v>5</v>
      </c>
      <c r="AG7" s="25" t="s">
        <v>294</v>
      </c>
      <c r="AH7" s="25" t="s">
        <v>274</v>
      </c>
      <c r="AI7" s="123">
        <v>6</v>
      </c>
      <c r="AJ7" s="25" t="s">
        <v>314</v>
      </c>
      <c r="AK7" s="25">
        <v>0.1</v>
      </c>
      <c r="AL7" s="107" t="s">
        <v>538</v>
      </c>
      <c r="AM7" s="169" t="s">
        <v>6</v>
      </c>
      <c r="AN7" s="166" t="s">
        <v>536</v>
      </c>
      <c r="AO7" s="169" t="s">
        <v>5</v>
      </c>
      <c r="AP7" s="202" t="s">
        <v>579</v>
      </c>
      <c r="AQ7" s="201" t="s">
        <v>274</v>
      </c>
    </row>
    <row r="8" spans="1:43" ht="15" customHeight="1" x14ac:dyDescent="0.25">
      <c r="A8" s="40" t="s">
        <v>15</v>
      </c>
      <c r="B8" s="31" t="s">
        <v>90</v>
      </c>
      <c r="C8" s="43">
        <v>300000000</v>
      </c>
      <c r="D8" s="44">
        <v>50000000</v>
      </c>
      <c r="E8" s="25">
        <v>10</v>
      </c>
      <c r="F8" s="25" t="s">
        <v>5</v>
      </c>
      <c r="G8" s="25">
        <v>100</v>
      </c>
      <c r="H8" s="25">
        <v>2500</v>
      </c>
      <c r="I8" s="25" t="s">
        <v>87</v>
      </c>
      <c r="J8" s="25" t="s">
        <v>88</v>
      </c>
      <c r="K8" s="115" t="s">
        <v>6</v>
      </c>
      <c r="L8" s="115" t="s">
        <v>321</v>
      </c>
      <c r="M8" s="115">
        <v>1</v>
      </c>
      <c r="N8" s="115">
        <v>100</v>
      </c>
      <c r="O8" s="67" t="s">
        <v>6</v>
      </c>
      <c r="P8" s="108" t="s">
        <v>274</v>
      </c>
      <c r="Q8" s="67" t="s">
        <v>6</v>
      </c>
      <c r="R8" s="130" t="s">
        <v>6</v>
      </c>
      <c r="S8" s="67" t="s">
        <v>6</v>
      </c>
      <c r="T8" s="67" t="s">
        <v>6</v>
      </c>
      <c r="U8" s="67" t="s">
        <v>6</v>
      </c>
      <c r="V8" s="108" t="s">
        <v>274</v>
      </c>
      <c r="W8" s="67" t="s">
        <v>6</v>
      </c>
      <c r="X8" s="41" t="s">
        <v>210</v>
      </c>
      <c r="Y8" s="25" t="s">
        <v>6</v>
      </c>
      <c r="Z8" s="25" t="s">
        <v>6</v>
      </c>
      <c r="AA8" s="25" t="s">
        <v>6</v>
      </c>
      <c r="AB8" s="123" t="s">
        <v>274</v>
      </c>
      <c r="AC8" s="123">
        <v>6</v>
      </c>
      <c r="AD8" s="40"/>
      <c r="AE8" s="108" t="s">
        <v>283</v>
      </c>
      <c r="AF8" s="25" t="s">
        <v>5</v>
      </c>
      <c r="AG8" s="25" t="s">
        <v>292</v>
      </c>
      <c r="AH8" s="25" t="s">
        <v>274</v>
      </c>
      <c r="AI8" s="123">
        <v>6</v>
      </c>
      <c r="AJ8" s="25" t="s">
        <v>314</v>
      </c>
      <c r="AK8" s="25">
        <v>0.1</v>
      </c>
      <c r="AL8" s="107" t="s">
        <v>538</v>
      </c>
      <c r="AM8" s="169" t="s">
        <v>6</v>
      </c>
      <c r="AN8" s="166" t="s">
        <v>536</v>
      </c>
      <c r="AO8" s="169" t="s">
        <v>5</v>
      </c>
      <c r="AP8" s="202" t="s">
        <v>579</v>
      </c>
      <c r="AQ8" s="201" t="s">
        <v>274</v>
      </c>
    </row>
    <row r="9" spans="1:43" ht="15" customHeight="1" x14ac:dyDescent="0.25">
      <c r="A9" s="40" t="s">
        <v>17</v>
      </c>
      <c r="B9" s="31" t="s">
        <v>95</v>
      </c>
      <c r="C9" s="41">
        <v>1000000000</v>
      </c>
      <c r="D9" s="44">
        <v>500000000</v>
      </c>
      <c r="E9" s="25">
        <v>10</v>
      </c>
      <c r="F9" s="25" t="s">
        <v>6</v>
      </c>
      <c r="G9" s="25">
        <v>5</v>
      </c>
      <c r="H9" s="25">
        <v>75000</v>
      </c>
      <c r="I9" s="25" t="s">
        <v>96</v>
      </c>
      <c r="J9" s="25" t="s">
        <v>86</v>
      </c>
      <c r="K9" s="115" t="s">
        <v>6</v>
      </c>
      <c r="L9" s="115" t="s">
        <v>322</v>
      </c>
      <c r="M9" s="115">
        <v>60</v>
      </c>
      <c r="N9" s="123">
        <v>100</v>
      </c>
      <c r="O9" s="67" t="s">
        <v>6</v>
      </c>
      <c r="P9" s="108" t="s">
        <v>274</v>
      </c>
      <c r="Q9" s="67" t="s">
        <v>6</v>
      </c>
      <c r="R9" s="130" t="s">
        <v>6</v>
      </c>
      <c r="S9" s="67" t="s">
        <v>5</v>
      </c>
      <c r="T9" s="67" t="s">
        <v>6</v>
      </c>
      <c r="U9" s="67" t="s">
        <v>6</v>
      </c>
      <c r="V9" s="108" t="s">
        <v>274</v>
      </c>
      <c r="W9" s="67" t="s">
        <v>6</v>
      </c>
      <c r="X9" s="41" t="s">
        <v>210</v>
      </c>
      <c r="Y9" s="41" t="s">
        <v>5</v>
      </c>
      <c r="Z9" s="41" t="s">
        <v>5</v>
      </c>
      <c r="AA9" s="41" t="s">
        <v>6</v>
      </c>
      <c r="AB9" s="123" t="s">
        <v>274</v>
      </c>
      <c r="AC9" s="123">
        <v>6</v>
      </c>
      <c r="AD9" s="40"/>
      <c r="AE9" s="108" t="s">
        <v>283</v>
      </c>
      <c r="AF9" s="25" t="s">
        <v>6</v>
      </c>
      <c r="AG9" s="25" t="s">
        <v>292</v>
      </c>
      <c r="AH9" s="25" t="s">
        <v>274</v>
      </c>
      <c r="AI9" s="123">
        <v>6</v>
      </c>
      <c r="AJ9" s="25" t="s">
        <v>314</v>
      </c>
      <c r="AK9" s="25">
        <v>0.2</v>
      </c>
      <c r="AL9" s="107" t="s">
        <v>538</v>
      </c>
      <c r="AM9" s="169" t="s">
        <v>5</v>
      </c>
      <c r="AN9" s="166" t="s">
        <v>536</v>
      </c>
      <c r="AO9" s="169" t="s">
        <v>5</v>
      </c>
      <c r="AP9" s="203" t="s">
        <v>579</v>
      </c>
      <c r="AQ9" s="201" t="s">
        <v>274</v>
      </c>
    </row>
    <row r="10" spans="1:43" s="39" customFormat="1" ht="40.5" customHeight="1" x14ac:dyDescent="0.25">
      <c r="A10" s="42" t="s">
        <v>18</v>
      </c>
      <c r="B10" s="31" t="s">
        <v>99</v>
      </c>
      <c r="C10" s="41">
        <v>250000000</v>
      </c>
      <c r="D10" s="44">
        <v>50000000</v>
      </c>
      <c r="E10" s="31">
        <v>10</v>
      </c>
      <c r="F10" s="31" t="s">
        <v>5</v>
      </c>
      <c r="G10" s="31">
        <v>5</v>
      </c>
      <c r="H10" s="31">
        <v>150000</v>
      </c>
      <c r="I10" s="31" t="s">
        <v>100</v>
      </c>
      <c r="J10" s="31" t="s">
        <v>101</v>
      </c>
      <c r="K10" s="115" t="s">
        <v>6</v>
      </c>
      <c r="L10" s="115" t="s">
        <v>322</v>
      </c>
      <c r="M10" s="115">
        <v>15</v>
      </c>
      <c r="N10" s="123">
        <v>100</v>
      </c>
      <c r="O10" s="67" t="s">
        <v>6</v>
      </c>
      <c r="P10" s="108" t="s">
        <v>274</v>
      </c>
      <c r="Q10" s="67" t="s">
        <v>6</v>
      </c>
      <c r="R10" s="130" t="s">
        <v>6</v>
      </c>
      <c r="S10" s="67" t="s">
        <v>6</v>
      </c>
      <c r="T10" s="67" t="s">
        <v>6</v>
      </c>
      <c r="U10" s="67" t="s">
        <v>6</v>
      </c>
      <c r="V10" s="108" t="s">
        <v>274</v>
      </c>
      <c r="W10" s="67" t="s">
        <v>6</v>
      </c>
      <c r="X10" s="41" t="s">
        <v>210</v>
      </c>
      <c r="Y10" s="41" t="s">
        <v>6</v>
      </c>
      <c r="Z10" s="41" t="s">
        <v>6</v>
      </c>
      <c r="AA10" s="41" t="s">
        <v>6</v>
      </c>
      <c r="AB10" s="123" t="s">
        <v>274</v>
      </c>
      <c r="AC10" s="123">
        <v>5</v>
      </c>
      <c r="AD10" s="42"/>
      <c r="AE10" s="108" t="s">
        <v>283</v>
      </c>
      <c r="AF10" s="108" t="s">
        <v>5</v>
      </c>
      <c r="AG10" s="108" t="s">
        <v>292</v>
      </c>
      <c r="AH10" s="25" t="s">
        <v>274</v>
      </c>
      <c r="AI10" s="123">
        <v>6</v>
      </c>
      <c r="AJ10" s="136" t="s">
        <v>314</v>
      </c>
      <c r="AK10" s="136">
        <v>0.1</v>
      </c>
      <c r="AL10" s="107" t="s">
        <v>538</v>
      </c>
      <c r="AM10" s="166" t="s">
        <v>6</v>
      </c>
      <c r="AN10" s="166" t="s">
        <v>536</v>
      </c>
      <c r="AO10" s="166" t="s">
        <v>5</v>
      </c>
      <c r="AP10" s="203" t="s">
        <v>579</v>
      </c>
      <c r="AQ10" s="201" t="s">
        <v>274</v>
      </c>
    </row>
    <row r="11" spans="1:43" ht="17.25" customHeight="1" x14ac:dyDescent="0.25">
      <c r="A11" s="40" t="s">
        <v>102</v>
      </c>
      <c r="B11" s="31" t="s">
        <v>20</v>
      </c>
      <c r="C11" s="44">
        <v>500000000</v>
      </c>
      <c r="D11" s="44">
        <v>25000000</v>
      </c>
      <c r="E11" s="25">
        <v>10</v>
      </c>
      <c r="F11" s="25" t="s">
        <v>5</v>
      </c>
      <c r="G11" s="25">
        <v>120</v>
      </c>
      <c r="H11" s="25">
        <v>100</v>
      </c>
      <c r="I11" s="25" t="s">
        <v>82</v>
      </c>
      <c r="J11" s="25" t="s">
        <v>84</v>
      </c>
      <c r="K11" s="115" t="s">
        <v>6</v>
      </c>
      <c r="L11" s="115" t="s">
        <v>322</v>
      </c>
      <c r="M11" s="115">
        <v>15</v>
      </c>
      <c r="N11" s="123">
        <v>100</v>
      </c>
      <c r="O11" s="67" t="s">
        <v>6</v>
      </c>
      <c r="P11" s="108" t="s">
        <v>274</v>
      </c>
      <c r="Q11" s="67" t="s">
        <v>6</v>
      </c>
      <c r="R11" s="130" t="s">
        <v>6</v>
      </c>
      <c r="S11" s="108" t="s">
        <v>5</v>
      </c>
      <c r="T11" s="67" t="s">
        <v>6</v>
      </c>
      <c r="U11" s="67" t="s">
        <v>6</v>
      </c>
      <c r="V11" s="108" t="s">
        <v>274</v>
      </c>
      <c r="W11" s="67" t="s">
        <v>6</v>
      </c>
      <c r="X11" s="41" t="s">
        <v>210</v>
      </c>
      <c r="Y11" s="41" t="s">
        <v>5</v>
      </c>
      <c r="Z11" s="41" t="s">
        <v>5</v>
      </c>
      <c r="AA11" s="41" t="s">
        <v>6</v>
      </c>
      <c r="AB11" s="25" t="s">
        <v>274</v>
      </c>
      <c r="AC11" s="25">
        <v>2</v>
      </c>
      <c r="AD11" s="40"/>
      <c r="AE11" s="108" t="s">
        <v>283</v>
      </c>
      <c r="AF11" s="25" t="s">
        <v>5</v>
      </c>
      <c r="AG11" s="25" t="s">
        <v>292</v>
      </c>
      <c r="AH11" s="25" t="s">
        <v>274</v>
      </c>
      <c r="AI11" s="123">
        <v>6</v>
      </c>
      <c r="AJ11" s="25" t="s">
        <v>314</v>
      </c>
      <c r="AK11" s="25">
        <v>0.2</v>
      </c>
      <c r="AL11" s="107" t="s">
        <v>538</v>
      </c>
      <c r="AM11" s="169" t="s">
        <v>6</v>
      </c>
      <c r="AN11" s="166" t="s">
        <v>536</v>
      </c>
      <c r="AO11" s="169" t="s">
        <v>5</v>
      </c>
      <c r="AP11" s="203" t="s">
        <v>579</v>
      </c>
      <c r="AQ11" s="201" t="s">
        <v>274</v>
      </c>
    </row>
    <row r="12" spans="1:43" ht="17.25" customHeight="1" x14ac:dyDescent="0.25">
      <c r="A12" s="40" t="s">
        <v>103</v>
      </c>
      <c r="B12" s="31" t="s">
        <v>20</v>
      </c>
      <c r="C12" s="44">
        <v>500000000</v>
      </c>
      <c r="D12" s="44">
        <v>25000000</v>
      </c>
      <c r="E12" s="25">
        <v>10</v>
      </c>
      <c r="F12" s="25" t="s">
        <v>5</v>
      </c>
      <c r="G12" s="25">
        <v>120</v>
      </c>
      <c r="H12" s="25">
        <v>400</v>
      </c>
      <c r="I12" s="25" t="s">
        <v>83</v>
      </c>
      <c r="J12" s="25" t="s">
        <v>85</v>
      </c>
      <c r="K12" s="115" t="s">
        <v>6</v>
      </c>
      <c r="L12" s="123" t="s">
        <v>274</v>
      </c>
      <c r="M12" s="123" t="s">
        <v>274</v>
      </c>
      <c r="N12" s="123" t="s">
        <v>274</v>
      </c>
      <c r="O12" s="67" t="s">
        <v>6</v>
      </c>
      <c r="P12" s="108" t="s">
        <v>274</v>
      </c>
      <c r="Q12" s="67" t="s">
        <v>6</v>
      </c>
      <c r="R12" s="130" t="s">
        <v>6</v>
      </c>
      <c r="S12" s="67" t="s">
        <v>5</v>
      </c>
      <c r="T12" s="67" t="s">
        <v>6</v>
      </c>
      <c r="U12" s="67" t="s">
        <v>6</v>
      </c>
      <c r="V12" s="108" t="s">
        <v>274</v>
      </c>
      <c r="W12" s="67" t="s">
        <v>6</v>
      </c>
      <c r="X12" s="41" t="s">
        <v>210</v>
      </c>
      <c r="Y12" s="41" t="s">
        <v>5</v>
      </c>
      <c r="Z12" s="41" t="s">
        <v>5</v>
      </c>
      <c r="AA12" s="41" t="s">
        <v>6</v>
      </c>
      <c r="AB12" s="25" t="s">
        <v>274</v>
      </c>
      <c r="AC12" s="25">
        <v>2</v>
      </c>
      <c r="AD12" s="40"/>
      <c r="AE12" s="108" t="s">
        <v>283</v>
      </c>
      <c r="AF12" s="25" t="s">
        <v>5</v>
      </c>
      <c r="AG12" s="25" t="s">
        <v>292</v>
      </c>
      <c r="AH12" s="25" t="s">
        <v>274</v>
      </c>
      <c r="AI12" s="123">
        <v>6</v>
      </c>
      <c r="AJ12" s="25" t="s">
        <v>314</v>
      </c>
      <c r="AK12" s="25">
        <v>0.2</v>
      </c>
      <c r="AL12" s="107" t="s">
        <v>538</v>
      </c>
      <c r="AM12" s="169" t="s">
        <v>6</v>
      </c>
      <c r="AN12" s="166" t="s">
        <v>536</v>
      </c>
      <c r="AO12" s="169" t="s">
        <v>5</v>
      </c>
      <c r="AP12" s="203" t="s">
        <v>579</v>
      </c>
      <c r="AQ12" s="201" t="s">
        <v>274</v>
      </c>
    </row>
    <row r="13" spans="1:43" ht="18" customHeight="1" x14ac:dyDescent="0.25">
      <c r="A13" s="40" t="s">
        <v>104</v>
      </c>
      <c r="B13" s="31" t="s">
        <v>20</v>
      </c>
      <c r="C13" s="44">
        <v>100000000</v>
      </c>
      <c r="D13" s="44">
        <v>10000000</v>
      </c>
      <c r="E13" s="25">
        <v>50</v>
      </c>
      <c r="F13" s="25" t="s">
        <v>5</v>
      </c>
      <c r="G13" s="25">
        <v>50</v>
      </c>
      <c r="H13" s="25">
        <v>16</v>
      </c>
      <c r="I13" s="25" t="s">
        <v>106</v>
      </c>
      <c r="J13" s="25" t="s">
        <v>106</v>
      </c>
      <c r="K13" s="115" t="s">
        <v>6</v>
      </c>
      <c r="L13" s="123" t="s">
        <v>274</v>
      </c>
      <c r="M13" s="123" t="s">
        <v>274</v>
      </c>
      <c r="N13" s="123" t="s">
        <v>274</v>
      </c>
      <c r="O13" s="67" t="s">
        <v>6</v>
      </c>
      <c r="P13" s="108" t="s">
        <v>274</v>
      </c>
      <c r="Q13" s="67" t="s">
        <v>6</v>
      </c>
      <c r="R13" s="130" t="s">
        <v>6</v>
      </c>
      <c r="S13" s="108" t="s">
        <v>5</v>
      </c>
      <c r="T13" s="67" t="s">
        <v>206</v>
      </c>
      <c r="U13" s="67" t="s">
        <v>6</v>
      </c>
      <c r="V13" s="108" t="s">
        <v>274</v>
      </c>
      <c r="W13" s="67" t="s">
        <v>6</v>
      </c>
      <c r="X13" s="41" t="s">
        <v>210</v>
      </c>
      <c r="Y13" s="41" t="s">
        <v>6</v>
      </c>
      <c r="Z13" s="41" t="s">
        <v>6</v>
      </c>
      <c r="AA13" s="41" t="s">
        <v>6</v>
      </c>
      <c r="AB13" s="25" t="s">
        <v>274</v>
      </c>
      <c r="AC13" s="25">
        <v>2</v>
      </c>
      <c r="AD13" s="40"/>
      <c r="AE13" s="108" t="s">
        <v>285</v>
      </c>
      <c r="AF13" s="25" t="s">
        <v>5</v>
      </c>
      <c r="AG13" s="25" t="s">
        <v>292</v>
      </c>
      <c r="AH13" s="25" t="s">
        <v>274</v>
      </c>
      <c r="AI13" s="123">
        <v>6</v>
      </c>
      <c r="AJ13" s="25" t="s">
        <v>314</v>
      </c>
      <c r="AK13" s="25">
        <v>0.2</v>
      </c>
      <c r="AL13" s="107" t="s">
        <v>538</v>
      </c>
      <c r="AM13" s="169" t="s">
        <v>6</v>
      </c>
      <c r="AN13" s="166" t="s">
        <v>536</v>
      </c>
      <c r="AO13" s="169" t="s">
        <v>274</v>
      </c>
      <c r="AP13" s="203" t="s">
        <v>579</v>
      </c>
      <c r="AQ13" s="201" t="s">
        <v>274</v>
      </c>
    </row>
    <row r="14" spans="1:43" x14ac:dyDescent="0.25">
      <c r="A14" s="40" t="s">
        <v>22</v>
      </c>
      <c r="B14" s="31" t="s">
        <v>23</v>
      </c>
      <c r="C14" s="44">
        <v>500000000</v>
      </c>
      <c r="D14" s="44">
        <v>25000000</v>
      </c>
      <c r="E14" s="25">
        <v>1</v>
      </c>
      <c r="F14" s="25" t="s">
        <v>5</v>
      </c>
      <c r="G14" s="25">
        <v>5</v>
      </c>
      <c r="H14" s="25"/>
      <c r="I14" s="25"/>
      <c r="J14" s="25"/>
      <c r="K14" s="115" t="s">
        <v>6</v>
      </c>
      <c r="L14" s="123" t="s">
        <v>274</v>
      </c>
      <c r="M14" s="123" t="s">
        <v>274</v>
      </c>
      <c r="N14" s="123" t="s">
        <v>274</v>
      </c>
      <c r="O14" s="67" t="s">
        <v>6</v>
      </c>
      <c r="P14" s="108" t="s">
        <v>274</v>
      </c>
      <c r="Q14" s="67" t="s">
        <v>6</v>
      </c>
      <c r="R14" s="130" t="s">
        <v>6</v>
      </c>
      <c r="S14" s="67" t="s">
        <v>6</v>
      </c>
      <c r="T14" s="67" t="s">
        <v>6</v>
      </c>
      <c r="U14" s="67" t="s">
        <v>6</v>
      </c>
      <c r="V14" s="108" t="s">
        <v>274</v>
      </c>
      <c r="W14" s="67" t="s">
        <v>6</v>
      </c>
      <c r="X14" s="41" t="s">
        <v>210</v>
      </c>
      <c r="Y14" s="41" t="s">
        <v>6</v>
      </c>
      <c r="Z14" s="41" t="s">
        <v>6</v>
      </c>
      <c r="AA14" s="41" t="s">
        <v>6</v>
      </c>
      <c r="AB14" s="25" t="s">
        <v>274</v>
      </c>
      <c r="AC14" s="25">
        <v>2</v>
      </c>
      <c r="AD14" s="40"/>
      <c r="AE14" s="108" t="s">
        <v>283</v>
      </c>
      <c r="AF14" s="25" t="s">
        <v>6</v>
      </c>
      <c r="AG14" s="25" t="s">
        <v>292</v>
      </c>
      <c r="AH14" s="25" t="s">
        <v>274</v>
      </c>
      <c r="AI14" s="130">
        <v>81</v>
      </c>
      <c r="AJ14" s="25" t="s">
        <v>316</v>
      </c>
      <c r="AK14" s="25">
        <v>0.5</v>
      </c>
      <c r="AL14" s="107" t="s">
        <v>538</v>
      </c>
      <c r="AM14" s="169" t="s">
        <v>6</v>
      </c>
      <c r="AN14" s="166" t="s">
        <v>539</v>
      </c>
      <c r="AO14" s="169" t="s">
        <v>5</v>
      </c>
      <c r="AP14" s="201" t="s">
        <v>578</v>
      </c>
      <c r="AQ14" s="201" t="s">
        <v>586</v>
      </c>
    </row>
    <row r="15" spans="1:43" x14ac:dyDescent="0.25">
      <c r="A15" s="40" t="s">
        <v>108</v>
      </c>
      <c r="B15" s="31" t="s">
        <v>109</v>
      </c>
      <c r="C15" s="41">
        <v>1000000</v>
      </c>
      <c r="D15" s="31">
        <v>1000000</v>
      </c>
      <c r="E15" s="25">
        <v>3000</v>
      </c>
      <c r="F15" s="25" t="s">
        <v>5</v>
      </c>
      <c r="G15" s="25">
        <v>120</v>
      </c>
      <c r="H15" s="25">
        <v>10000</v>
      </c>
      <c r="I15" s="25"/>
      <c r="J15" s="25"/>
      <c r="K15" s="115" t="s">
        <v>6</v>
      </c>
      <c r="L15" s="123" t="s">
        <v>274</v>
      </c>
      <c r="M15" s="123" t="s">
        <v>274</v>
      </c>
      <c r="N15" s="123" t="s">
        <v>274</v>
      </c>
      <c r="O15" s="67" t="s">
        <v>6</v>
      </c>
      <c r="P15" s="108" t="s">
        <v>274</v>
      </c>
      <c r="Q15" s="67" t="s">
        <v>6</v>
      </c>
      <c r="R15" s="130" t="s">
        <v>6</v>
      </c>
      <c r="S15" s="67" t="s">
        <v>6</v>
      </c>
      <c r="T15" s="67" t="s">
        <v>6</v>
      </c>
      <c r="U15" s="67" t="s">
        <v>6</v>
      </c>
      <c r="V15" s="108" t="s">
        <v>274</v>
      </c>
      <c r="W15" s="67" t="s">
        <v>6</v>
      </c>
      <c r="X15" s="41" t="s">
        <v>210</v>
      </c>
      <c r="Y15" s="41" t="s">
        <v>6</v>
      </c>
      <c r="Z15" s="41" t="s">
        <v>6</v>
      </c>
      <c r="AA15" s="41" t="s">
        <v>6</v>
      </c>
      <c r="AB15" s="25" t="s">
        <v>274</v>
      </c>
      <c r="AC15" s="25">
        <v>1</v>
      </c>
      <c r="AD15" s="40"/>
      <c r="AE15" s="108" t="s">
        <v>283</v>
      </c>
      <c r="AF15" s="25" t="s">
        <v>6</v>
      </c>
      <c r="AG15" s="25" t="s">
        <v>292</v>
      </c>
      <c r="AH15" s="25" t="s">
        <v>274</v>
      </c>
      <c r="AI15" s="126">
        <v>81</v>
      </c>
      <c r="AJ15" s="25" t="s">
        <v>316</v>
      </c>
      <c r="AK15" s="25">
        <v>0.5</v>
      </c>
      <c r="AL15" s="107" t="s">
        <v>538</v>
      </c>
      <c r="AM15" s="169" t="s">
        <v>6</v>
      </c>
      <c r="AN15" s="166" t="s">
        <v>539</v>
      </c>
      <c r="AO15" s="169" t="s">
        <v>5</v>
      </c>
      <c r="AP15" s="201" t="s">
        <v>578</v>
      </c>
      <c r="AQ15" s="201" t="s">
        <v>586</v>
      </c>
    </row>
    <row r="16" spans="1:43" x14ac:dyDescent="0.25">
      <c r="A16" s="40" t="s">
        <v>25</v>
      </c>
      <c r="B16" s="31" t="s">
        <v>110</v>
      </c>
      <c r="C16" s="41">
        <v>10000000</v>
      </c>
      <c r="D16" s="31">
        <v>10000000</v>
      </c>
      <c r="E16" s="25">
        <v>1</v>
      </c>
      <c r="F16" s="25" t="s">
        <v>5</v>
      </c>
      <c r="G16" s="25">
        <v>500</v>
      </c>
      <c r="H16" s="25"/>
      <c r="I16" s="25"/>
      <c r="J16" s="25"/>
      <c r="K16" s="115" t="s">
        <v>5</v>
      </c>
      <c r="L16" s="115" t="s">
        <v>325</v>
      </c>
      <c r="M16" s="115">
        <v>0.1</v>
      </c>
      <c r="N16" s="115">
        <v>0.5</v>
      </c>
      <c r="O16" s="67" t="s">
        <v>6</v>
      </c>
      <c r="P16" s="108" t="s">
        <v>274</v>
      </c>
      <c r="Q16" s="67" t="s">
        <v>6</v>
      </c>
      <c r="R16" s="130" t="s">
        <v>6</v>
      </c>
      <c r="S16" s="67" t="s">
        <v>6</v>
      </c>
      <c r="T16" s="67" t="s">
        <v>6</v>
      </c>
      <c r="U16" s="67" t="s">
        <v>5</v>
      </c>
      <c r="V16" s="113" t="s">
        <v>301</v>
      </c>
      <c r="W16" s="67" t="s">
        <v>5</v>
      </c>
      <c r="X16" s="41" t="s">
        <v>211</v>
      </c>
      <c r="Y16" s="41" t="s">
        <v>6</v>
      </c>
      <c r="Z16" s="41" t="s">
        <v>5</v>
      </c>
      <c r="AA16" s="41" t="s">
        <v>6</v>
      </c>
      <c r="AB16" s="25" t="s">
        <v>274</v>
      </c>
      <c r="AC16" s="25">
        <v>0.2</v>
      </c>
      <c r="AD16" s="40"/>
      <c r="AE16" s="108" t="s">
        <v>283</v>
      </c>
      <c r="AF16" s="25" t="s">
        <v>6</v>
      </c>
      <c r="AG16" s="25" t="s">
        <v>294</v>
      </c>
      <c r="AH16" s="113" t="s">
        <v>477</v>
      </c>
      <c r="AI16" s="123">
        <v>3</v>
      </c>
      <c r="AJ16" s="25" t="s">
        <v>316</v>
      </c>
      <c r="AK16" s="25">
        <v>0.5</v>
      </c>
      <c r="AL16" s="107" t="s">
        <v>538</v>
      </c>
      <c r="AM16" s="169" t="s">
        <v>6</v>
      </c>
      <c r="AN16" s="166" t="s">
        <v>539</v>
      </c>
      <c r="AO16" s="169" t="s">
        <v>5</v>
      </c>
      <c r="AP16" s="201" t="s">
        <v>578</v>
      </c>
      <c r="AQ16" s="201" t="s">
        <v>586</v>
      </c>
    </row>
    <row r="17" spans="1:43" x14ac:dyDescent="0.25">
      <c r="A17" s="40" t="s">
        <v>143</v>
      </c>
      <c r="B17" s="31" t="s">
        <v>110</v>
      </c>
      <c r="C17" s="41">
        <v>10000000</v>
      </c>
      <c r="D17" s="44">
        <v>10000000</v>
      </c>
      <c r="E17" s="25">
        <v>1</v>
      </c>
      <c r="F17" s="25" t="s">
        <v>5</v>
      </c>
      <c r="G17" s="25">
        <v>500</v>
      </c>
      <c r="H17" s="25"/>
      <c r="I17" s="25"/>
      <c r="J17" s="25"/>
      <c r="K17" s="115" t="s">
        <v>5</v>
      </c>
      <c r="L17" s="115" t="s">
        <v>325</v>
      </c>
      <c r="M17" s="123">
        <v>0.1</v>
      </c>
      <c r="N17" s="123">
        <v>0.5</v>
      </c>
      <c r="O17" s="67" t="s">
        <v>6</v>
      </c>
      <c r="P17" s="108" t="s">
        <v>274</v>
      </c>
      <c r="Q17" s="67" t="s">
        <v>6</v>
      </c>
      <c r="R17" s="130" t="s">
        <v>6</v>
      </c>
      <c r="S17" s="67" t="s">
        <v>6</v>
      </c>
      <c r="T17" s="67" t="s">
        <v>6</v>
      </c>
      <c r="U17" s="67" t="s">
        <v>6</v>
      </c>
      <c r="V17" s="108" t="s">
        <v>274</v>
      </c>
      <c r="W17" s="67" t="s">
        <v>5</v>
      </c>
      <c r="X17" s="41" t="s">
        <v>211</v>
      </c>
      <c r="Y17" s="41" t="s">
        <v>6</v>
      </c>
      <c r="Z17" s="41" t="s">
        <v>6</v>
      </c>
      <c r="AA17" s="41" t="s">
        <v>5</v>
      </c>
      <c r="AB17" s="25">
        <v>1</v>
      </c>
      <c r="AC17" s="25">
        <v>1</v>
      </c>
      <c r="AD17" s="40"/>
      <c r="AE17" s="108" t="s">
        <v>283</v>
      </c>
      <c r="AF17" s="25" t="s">
        <v>6</v>
      </c>
      <c r="AG17" s="25" t="s">
        <v>294</v>
      </c>
      <c r="AH17" s="25" t="s">
        <v>274</v>
      </c>
      <c r="AI17" s="123">
        <v>81</v>
      </c>
      <c r="AJ17" s="25" t="s">
        <v>316</v>
      </c>
      <c r="AK17" s="25">
        <v>0.5</v>
      </c>
      <c r="AL17" s="107" t="s">
        <v>538</v>
      </c>
      <c r="AM17" s="169" t="s">
        <v>5</v>
      </c>
      <c r="AN17" s="166" t="s">
        <v>539</v>
      </c>
      <c r="AO17" s="169" t="s">
        <v>5</v>
      </c>
      <c r="AP17" s="201" t="s">
        <v>580</v>
      </c>
      <c r="AQ17" s="40"/>
    </row>
    <row r="18" spans="1:43" ht="15.75" customHeight="1" x14ac:dyDescent="0.25">
      <c r="A18" s="40" t="s">
        <v>27</v>
      </c>
      <c r="B18" s="31" t="s">
        <v>110</v>
      </c>
      <c r="C18" s="41">
        <v>10000000</v>
      </c>
      <c r="D18" s="44">
        <v>10000000</v>
      </c>
      <c r="E18" s="25">
        <v>1</v>
      </c>
      <c r="F18" s="25" t="s">
        <v>5</v>
      </c>
      <c r="G18" s="25">
        <v>500</v>
      </c>
      <c r="H18" s="25"/>
      <c r="I18" s="25"/>
      <c r="J18" s="25"/>
      <c r="K18" s="115" t="s">
        <v>5</v>
      </c>
      <c r="L18" s="115" t="s">
        <v>325</v>
      </c>
      <c r="M18" s="123">
        <v>0.1</v>
      </c>
      <c r="N18" s="123">
        <v>0.5</v>
      </c>
      <c r="O18" s="67" t="s">
        <v>6</v>
      </c>
      <c r="P18" s="108" t="s">
        <v>274</v>
      </c>
      <c r="Q18" s="67" t="s">
        <v>6</v>
      </c>
      <c r="R18" s="130" t="s">
        <v>6</v>
      </c>
      <c r="S18" s="67" t="s">
        <v>6</v>
      </c>
      <c r="T18" s="67" t="s">
        <v>6</v>
      </c>
      <c r="U18" s="67" t="s">
        <v>6</v>
      </c>
      <c r="V18" s="108" t="s">
        <v>274</v>
      </c>
      <c r="W18" s="67" t="s">
        <v>5</v>
      </c>
      <c r="X18" s="41" t="s">
        <v>211</v>
      </c>
      <c r="Y18" s="41" t="s">
        <v>6</v>
      </c>
      <c r="Z18" s="41" t="s">
        <v>6</v>
      </c>
      <c r="AA18" s="41" t="s">
        <v>5</v>
      </c>
      <c r="AB18" s="41">
        <v>1</v>
      </c>
      <c r="AC18" s="41">
        <v>1</v>
      </c>
      <c r="AD18" s="40"/>
      <c r="AE18" s="108" t="s">
        <v>284</v>
      </c>
      <c r="AF18" s="25" t="s">
        <v>6</v>
      </c>
      <c r="AG18" s="25" t="s">
        <v>293</v>
      </c>
      <c r="AH18" s="25" t="s">
        <v>274</v>
      </c>
      <c r="AI18" s="123">
        <v>81</v>
      </c>
      <c r="AJ18" s="25" t="s">
        <v>316</v>
      </c>
      <c r="AK18" s="25">
        <v>0.5</v>
      </c>
      <c r="AL18" s="107" t="s">
        <v>538</v>
      </c>
      <c r="AM18" s="169" t="s">
        <v>6</v>
      </c>
      <c r="AN18" s="166" t="s">
        <v>539</v>
      </c>
      <c r="AO18" s="169" t="s">
        <v>5</v>
      </c>
      <c r="AP18" s="201" t="s">
        <v>578</v>
      </c>
      <c r="AQ18" s="201" t="s">
        <v>586</v>
      </c>
    </row>
    <row r="19" spans="1:43" x14ac:dyDescent="0.25">
      <c r="A19" s="40" t="s">
        <v>30</v>
      </c>
      <c r="B19" s="31" t="s">
        <v>111</v>
      </c>
      <c r="C19" s="41">
        <v>10000000</v>
      </c>
      <c r="D19" s="44">
        <v>10000000</v>
      </c>
      <c r="E19" s="25">
        <v>10</v>
      </c>
      <c r="F19" s="25" t="s">
        <v>5</v>
      </c>
      <c r="G19" s="25">
        <v>500</v>
      </c>
      <c r="H19" s="25"/>
      <c r="I19" s="25"/>
      <c r="J19" s="25"/>
      <c r="K19" s="115" t="s">
        <v>5</v>
      </c>
      <c r="L19" s="115" t="s">
        <v>325</v>
      </c>
      <c r="M19" s="123">
        <v>0.1</v>
      </c>
      <c r="N19" s="123">
        <v>0.5</v>
      </c>
      <c r="O19" s="67" t="s">
        <v>6</v>
      </c>
      <c r="P19" s="108" t="s">
        <v>274</v>
      </c>
      <c r="Q19" s="67" t="s">
        <v>6</v>
      </c>
      <c r="R19" s="130" t="s">
        <v>6</v>
      </c>
      <c r="S19" s="67" t="s">
        <v>6</v>
      </c>
      <c r="T19" s="67" t="s">
        <v>6</v>
      </c>
      <c r="U19" s="67" t="s">
        <v>6</v>
      </c>
      <c r="V19" s="108" t="s">
        <v>274</v>
      </c>
      <c r="W19" s="67" t="s">
        <v>5</v>
      </c>
      <c r="X19" s="41" t="s">
        <v>212</v>
      </c>
      <c r="Y19" s="41" t="s">
        <v>6</v>
      </c>
      <c r="Z19" s="41" t="s">
        <v>6</v>
      </c>
      <c r="AA19" s="41" t="s">
        <v>6</v>
      </c>
      <c r="AB19" s="25" t="s">
        <v>274</v>
      </c>
      <c r="AC19" s="25">
        <v>1</v>
      </c>
      <c r="AD19" s="40"/>
      <c r="AE19" s="108" t="s">
        <v>284</v>
      </c>
      <c r="AF19" s="25" t="s">
        <v>6</v>
      </c>
      <c r="AG19" s="25" t="s">
        <v>293</v>
      </c>
      <c r="AH19" s="25" t="s">
        <v>274</v>
      </c>
      <c r="AI19" s="123">
        <v>81</v>
      </c>
      <c r="AJ19" s="25" t="s">
        <v>316</v>
      </c>
      <c r="AK19" s="25">
        <v>0.5</v>
      </c>
      <c r="AL19" s="107" t="s">
        <v>538</v>
      </c>
      <c r="AM19" s="169" t="s">
        <v>6</v>
      </c>
      <c r="AN19" s="166" t="s">
        <v>539</v>
      </c>
      <c r="AO19" s="169" t="s">
        <v>5</v>
      </c>
      <c r="AP19" s="201" t="s">
        <v>578</v>
      </c>
      <c r="AQ19" s="201" t="s">
        <v>586</v>
      </c>
    </row>
    <row r="20" spans="1:43" x14ac:dyDescent="0.25">
      <c r="A20" s="40" t="s">
        <v>31</v>
      </c>
      <c r="B20" s="31" t="s">
        <v>111</v>
      </c>
      <c r="C20" s="41">
        <v>10000000</v>
      </c>
      <c r="D20" s="44">
        <v>10000000</v>
      </c>
      <c r="E20" s="25">
        <v>10</v>
      </c>
      <c r="F20" s="25" t="s">
        <v>5</v>
      </c>
      <c r="G20" s="25">
        <v>500</v>
      </c>
      <c r="H20" s="25"/>
      <c r="I20" s="25"/>
      <c r="J20" s="25"/>
      <c r="K20" s="115" t="s">
        <v>5</v>
      </c>
      <c r="L20" s="115" t="s">
        <v>321</v>
      </c>
      <c r="M20" s="123">
        <v>0.1</v>
      </c>
      <c r="N20" s="115">
        <v>100</v>
      </c>
      <c r="O20" s="67" t="s">
        <v>5</v>
      </c>
      <c r="P20" s="108" t="s">
        <v>289</v>
      </c>
      <c r="Q20" s="67" t="s">
        <v>5</v>
      </c>
      <c r="R20" s="113" t="s">
        <v>476</v>
      </c>
      <c r="S20" s="67" t="s">
        <v>5</v>
      </c>
      <c r="T20" s="67" t="s">
        <v>6</v>
      </c>
      <c r="U20" s="67" t="s">
        <v>6</v>
      </c>
      <c r="V20" s="108" t="s">
        <v>274</v>
      </c>
      <c r="W20" s="67" t="s">
        <v>5</v>
      </c>
      <c r="X20" s="41" t="s">
        <v>212</v>
      </c>
      <c r="Y20" s="41" t="s">
        <v>6</v>
      </c>
      <c r="Z20" s="41" t="s">
        <v>6</v>
      </c>
      <c r="AA20" s="41" t="s">
        <v>6</v>
      </c>
      <c r="AB20" s="25" t="s">
        <v>274</v>
      </c>
      <c r="AC20" s="25">
        <v>1</v>
      </c>
      <c r="AD20" s="40"/>
      <c r="AE20" s="108" t="s">
        <v>283</v>
      </c>
      <c r="AF20" s="25" t="s">
        <v>5</v>
      </c>
      <c r="AG20" s="25" t="s">
        <v>294</v>
      </c>
      <c r="AH20" s="25" t="s">
        <v>274</v>
      </c>
      <c r="AI20" s="123" t="s">
        <v>478</v>
      </c>
      <c r="AJ20" s="25" t="s">
        <v>314</v>
      </c>
      <c r="AK20" s="25">
        <v>0.3</v>
      </c>
      <c r="AL20" s="107" t="s">
        <v>538</v>
      </c>
      <c r="AM20" s="169" t="s">
        <v>6</v>
      </c>
      <c r="AN20" s="166" t="s">
        <v>539</v>
      </c>
      <c r="AO20" s="169" t="s">
        <v>274</v>
      </c>
      <c r="AP20" s="201" t="s">
        <v>578</v>
      </c>
      <c r="AQ20" s="201" t="s">
        <v>586</v>
      </c>
    </row>
    <row r="21" spans="1:43" x14ac:dyDescent="0.25">
      <c r="A21" s="40" t="s">
        <v>32</v>
      </c>
      <c r="B21" s="31" t="s">
        <v>111</v>
      </c>
      <c r="C21" s="41">
        <v>10000000</v>
      </c>
      <c r="D21" s="44">
        <v>10000000</v>
      </c>
      <c r="E21" s="25">
        <v>10</v>
      </c>
      <c r="F21" s="25" t="s">
        <v>5</v>
      </c>
      <c r="G21" s="25">
        <v>500</v>
      </c>
      <c r="H21" s="25"/>
      <c r="I21" s="25"/>
      <c r="J21" s="25"/>
      <c r="K21" s="115" t="s">
        <v>5</v>
      </c>
      <c r="L21" s="115" t="s">
        <v>325</v>
      </c>
      <c r="M21" s="123">
        <v>0.1</v>
      </c>
      <c r="N21" s="115">
        <v>0.5</v>
      </c>
      <c r="O21" s="67" t="s">
        <v>6</v>
      </c>
      <c r="P21" s="108" t="s">
        <v>274</v>
      </c>
      <c r="Q21" s="67" t="s">
        <v>6</v>
      </c>
      <c r="R21" s="130" t="s">
        <v>6</v>
      </c>
      <c r="S21" s="67" t="s">
        <v>6</v>
      </c>
      <c r="T21" s="67" t="s">
        <v>6</v>
      </c>
      <c r="U21" s="67" t="s">
        <v>6</v>
      </c>
      <c r="V21" s="108" t="s">
        <v>274</v>
      </c>
      <c r="W21" s="67" t="s">
        <v>5</v>
      </c>
      <c r="X21" s="41" t="s">
        <v>212</v>
      </c>
      <c r="Y21" s="41" t="s">
        <v>6</v>
      </c>
      <c r="Z21" s="41" t="s">
        <v>6</v>
      </c>
      <c r="AA21" s="41" t="s">
        <v>6</v>
      </c>
      <c r="AB21" s="25" t="s">
        <v>274</v>
      </c>
      <c r="AC21" s="25">
        <v>1</v>
      </c>
      <c r="AD21" s="40"/>
      <c r="AE21" s="108" t="s">
        <v>283</v>
      </c>
      <c r="AF21" s="25" t="s">
        <v>6</v>
      </c>
      <c r="AG21" s="25" t="s">
        <v>292</v>
      </c>
      <c r="AH21" s="25" t="s">
        <v>274</v>
      </c>
      <c r="AI21" s="123">
        <v>6</v>
      </c>
      <c r="AJ21" s="25" t="s">
        <v>314</v>
      </c>
      <c r="AK21" s="25">
        <v>0.5</v>
      </c>
      <c r="AL21" s="107" t="s">
        <v>538</v>
      </c>
      <c r="AM21" s="169" t="s">
        <v>5</v>
      </c>
      <c r="AN21" s="166" t="s">
        <v>536</v>
      </c>
      <c r="AO21" s="169" t="s">
        <v>5</v>
      </c>
      <c r="AP21" s="202" t="s">
        <v>578</v>
      </c>
      <c r="AQ21" s="201" t="s">
        <v>586</v>
      </c>
    </row>
    <row r="22" spans="1:43" x14ac:dyDescent="0.25">
      <c r="A22" s="40" t="s">
        <v>107</v>
      </c>
      <c r="B22" s="31" t="s">
        <v>114</v>
      </c>
      <c r="C22" s="44">
        <v>500000000</v>
      </c>
      <c r="D22" s="44">
        <v>25000000</v>
      </c>
      <c r="E22" s="31">
        <v>10</v>
      </c>
      <c r="F22" s="31" t="s">
        <v>5</v>
      </c>
      <c r="G22" s="31">
        <v>500</v>
      </c>
      <c r="H22" s="31">
        <v>2000</v>
      </c>
      <c r="I22" s="31" t="s">
        <v>79</v>
      </c>
      <c r="J22" s="31" t="s">
        <v>81</v>
      </c>
      <c r="K22" s="115" t="s">
        <v>6</v>
      </c>
      <c r="L22" s="115" t="s">
        <v>321</v>
      </c>
      <c r="M22" s="115">
        <v>1</v>
      </c>
      <c r="N22" s="115">
        <v>100</v>
      </c>
      <c r="O22" s="67" t="s">
        <v>6</v>
      </c>
      <c r="P22" s="108" t="s">
        <v>274</v>
      </c>
      <c r="Q22" s="67" t="s">
        <v>6</v>
      </c>
      <c r="R22" s="130" t="s">
        <v>6</v>
      </c>
      <c r="S22" s="67" t="s">
        <v>6</v>
      </c>
      <c r="T22" s="67" t="s">
        <v>6</v>
      </c>
      <c r="U22" s="67" t="s">
        <v>6</v>
      </c>
      <c r="V22" s="108" t="s">
        <v>274</v>
      </c>
      <c r="W22" s="67" t="s">
        <v>6</v>
      </c>
      <c r="X22" s="25" t="s">
        <v>212</v>
      </c>
      <c r="Y22" s="41" t="s">
        <v>6</v>
      </c>
      <c r="Z22" s="41" t="s">
        <v>5</v>
      </c>
      <c r="AA22" s="41" t="s">
        <v>6</v>
      </c>
      <c r="AB22" s="25" t="s">
        <v>274</v>
      </c>
      <c r="AC22" s="25">
        <v>2</v>
      </c>
      <c r="AD22" s="40"/>
      <c r="AE22" s="108" t="s">
        <v>283</v>
      </c>
      <c r="AF22" s="25" t="s">
        <v>5</v>
      </c>
      <c r="AG22" s="25" t="s">
        <v>292</v>
      </c>
      <c r="AH22" s="25" t="s">
        <v>274</v>
      </c>
      <c r="AI22" s="123">
        <v>82</v>
      </c>
      <c r="AJ22" s="25" t="s">
        <v>314</v>
      </c>
      <c r="AK22" s="25">
        <v>0.2</v>
      </c>
      <c r="AL22" s="107" t="s">
        <v>538</v>
      </c>
      <c r="AM22" s="169" t="s">
        <v>6</v>
      </c>
      <c r="AN22" s="166" t="s">
        <v>536</v>
      </c>
      <c r="AO22" s="169" t="s">
        <v>5</v>
      </c>
      <c r="AP22" s="202" t="s">
        <v>579</v>
      </c>
      <c r="AQ22" s="201" t="s">
        <v>274</v>
      </c>
    </row>
    <row r="23" spans="1:43" x14ac:dyDescent="0.25">
      <c r="A23" s="40" t="s">
        <v>35</v>
      </c>
      <c r="B23" s="31" t="s">
        <v>114</v>
      </c>
      <c r="C23" s="44">
        <v>500000000</v>
      </c>
      <c r="D23" s="44">
        <v>25000000</v>
      </c>
      <c r="E23" s="31">
        <v>10</v>
      </c>
      <c r="F23" s="31" t="s">
        <v>5</v>
      </c>
      <c r="G23" s="31">
        <v>500</v>
      </c>
      <c r="H23" s="31">
        <v>2000</v>
      </c>
      <c r="I23" s="31" t="s">
        <v>79</v>
      </c>
      <c r="J23" s="31" t="s">
        <v>81</v>
      </c>
      <c r="K23" s="115" t="s">
        <v>6</v>
      </c>
      <c r="L23" s="115" t="s">
        <v>321</v>
      </c>
      <c r="M23" s="115">
        <v>1</v>
      </c>
      <c r="N23" s="115">
        <v>100</v>
      </c>
      <c r="O23" s="67" t="s">
        <v>6</v>
      </c>
      <c r="P23" s="108" t="s">
        <v>274</v>
      </c>
      <c r="Q23" s="67" t="s">
        <v>6</v>
      </c>
      <c r="R23" s="130" t="s">
        <v>6</v>
      </c>
      <c r="S23" s="67" t="s">
        <v>6</v>
      </c>
      <c r="T23" s="67" t="s">
        <v>6</v>
      </c>
      <c r="U23" s="67" t="s">
        <v>6</v>
      </c>
      <c r="V23" s="108" t="s">
        <v>274</v>
      </c>
      <c r="W23" s="67" t="s">
        <v>6</v>
      </c>
      <c r="X23" s="25" t="s">
        <v>212</v>
      </c>
      <c r="Y23" s="41" t="s">
        <v>6</v>
      </c>
      <c r="Z23" s="41" t="s">
        <v>5</v>
      </c>
      <c r="AA23" s="41" t="s">
        <v>6</v>
      </c>
      <c r="AB23" s="25" t="s">
        <v>274</v>
      </c>
      <c r="AC23" s="25">
        <v>2</v>
      </c>
      <c r="AD23" s="40"/>
      <c r="AE23" s="108" t="s">
        <v>283</v>
      </c>
      <c r="AF23" s="25" t="s">
        <v>5</v>
      </c>
      <c r="AG23" s="25" t="s">
        <v>292</v>
      </c>
      <c r="AH23" s="25" t="s">
        <v>274</v>
      </c>
      <c r="AI23" s="123">
        <v>6</v>
      </c>
      <c r="AJ23" s="25" t="s">
        <v>314</v>
      </c>
      <c r="AK23" s="25">
        <v>0.3</v>
      </c>
      <c r="AL23" s="107" t="s">
        <v>538</v>
      </c>
      <c r="AM23" s="169" t="s">
        <v>6</v>
      </c>
      <c r="AN23" s="166" t="s">
        <v>536</v>
      </c>
      <c r="AO23" s="169" t="s">
        <v>5</v>
      </c>
      <c r="AP23" s="202" t="s">
        <v>579</v>
      </c>
      <c r="AQ23" s="201" t="s">
        <v>274</v>
      </c>
    </row>
    <row r="24" spans="1:43" x14ac:dyDescent="0.25">
      <c r="A24" s="40" t="s">
        <v>36</v>
      </c>
      <c r="B24" s="31" t="s">
        <v>114</v>
      </c>
      <c r="C24" s="44">
        <v>500000000</v>
      </c>
      <c r="D24" s="44">
        <v>25000000</v>
      </c>
      <c r="E24" s="31">
        <v>10</v>
      </c>
      <c r="F24" s="31" t="s">
        <v>5</v>
      </c>
      <c r="G24" s="31">
        <v>500</v>
      </c>
      <c r="H24" s="31">
        <v>2000</v>
      </c>
      <c r="I24" s="31" t="s">
        <v>79</v>
      </c>
      <c r="J24" s="31" t="s">
        <v>81</v>
      </c>
      <c r="K24" s="115" t="s">
        <v>6</v>
      </c>
      <c r="L24" s="115" t="s">
        <v>321</v>
      </c>
      <c r="M24" s="115">
        <v>1</v>
      </c>
      <c r="N24" s="115">
        <v>100</v>
      </c>
      <c r="O24" s="67" t="s">
        <v>6</v>
      </c>
      <c r="P24" s="108" t="s">
        <v>274</v>
      </c>
      <c r="Q24" s="67" t="s">
        <v>6</v>
      </c>
      <c r="R24" s="130" t="s">
        <v>6</v>
      </c>
      <c r="S24" s="67" t="s">
        <v>6</v>
      </c>
      <c r="T24" s="67" t="s">
        <v>6</v>
      </c>
      <c r="U24" s="67" t="s">
        <v>6</v>
      </c>
      <c r="V24" s="108" t="s">
        <v>274</v>
      </c>
      <c r="W24" s="67" t="s">
        <v>6</v>
      </c>
      <c r="X24" s="25" t="s">
        <v>212</v>
      </c>
      <c r="Y24" s="41" t="s">
        <v>6</v>
      </c>
      <c r="Z24" s="41" t="s">
        <v>5</v>
      </c>
      <c r="AA24" s="41" t="s">
        <v>6</v>
      </c>
      <c r="AB24" s="25" t="s">
        <v>274</v>
      </c>
      <c r="AC24" s="25">
        <v>2</v>
      </c>
      <c r="AD24" s="40"/>
      <c r="AE24" s="108" t="s">
        <v>283</v>
      </c>
      <c r="AF24" s="25" t="s">
        <v>5</v>
      </c>
      <c r="AG24" s="25" t="s">
        <v>292</v>
      </c>
      <c r="AH24" s="25" t="s">
        <v>274</v>
      </c>
      <c r="AI24" s="123">
        <v>6</v>
      </c>
      <c r="AJ24" s="25" t="s">
        <v>314</v>
      </c>
      <c r="AK24" s="25">
        <v>0.3</v>
      </c>
      <c r="AL24" s="107" t="s">
        <v>538</v>
      </c>
      <c r="AM24" s="169" t="s">
        <v>6</v>
      </c>
      <c r="AN24" s="166" t="s">
        <v>536</v>
      </c>
      <c r="AO24" s="169" t="s">
        <v>5</v>
      </c>
      <c r="AP24" s="202" t="s">
        <v>579</v>
      </c>
      <c r="AQ24" s="201" t="s">
        <v>274</v>
      </c>
    </row>
    <row r="25" spans="1:43" x14ac:dyDescent="0.25">
      <c r="A25" s="40" t="s">
        <v>39</v>
      </c>
      <c r="B25" s="31" t="s">
        <v>114</v>
      </c>
      <c r="C25" s="31">
        <v>150000000</v>
      </c>
      <c r="D25" s="44">
        <v>7500000</v>
      </c>
      <c r="E25" s="31">
        <v>10</v>
      </c>
      <c r="F25" s="25" t="s">
        <v>5</v>
      </c>
      <c r="G25" s="25">
        <v>1000</v>
      </c>
      <c r="H25" s="25">
        <v>80</v>
      </c>
      <c r="I25" s="25" t="s">
        <v>78</v>
      </c>
      <c r="J25" s="25" t="s">
        <v>80</v>
      </c>
      <c r="K25" s="115" t="s">
        <v>5</v>
      </c>
      <c r="L25" s="115" t="s">
        <v>325</v>
      </c>
      <c r="M25" s="115">
        <v>1</v>
      </c>
      <c r="N25" s="115">
        <v>0.5</v>
      </c>
      <c r="O25" s="67" t="s">
        <v>6</v>
      </c>
      <c r="P25" s="108" t="s">
        <v>274</v>
      </c>
      <c r="Q25" s="67" t="s">
        <v>6</v>
      </c>
      <c r="R25" s="130" t="s">
        <v>6</v>
      </c>
      <c r="S25" s="67" t="s">
        <v>6</v>
      </c>
      <c r="T25" s="67" t="s">
        <v>6</v>
      </c>
      <c r="U25" s="67" t="s">
        <v>6</v>
      </c>
      <c r="V25" s="108" t="s">
        <v>274</v>
      </c>
      <c r="W25" s="67" t="s">
        <v>6</v>
      </c>
      <c r="X25" s="25" t="s">
        <v>212</v>
      </c>
      <c r="Y25" s="41" t="s">
        <v>6</v>
      </c>
      <c r="Z25" s="41" t="s">
        <v>5</v>
      </c>
      <c r="AA25" s="41" t="s">
        <v>6</v>
      </c>
      <c r="AB25" s="25" t="s">
        <v>274</v>
      </c>
      <c r="AC25" s="25">
        <v>2</v>
      </c>
      <c r="AD25" s="40"/>
      <c r="AE25" s="108" t="s">
        <v>283</v>
      </c>
      <c r="AF25" s="25" t="s">
        <v>5</v>
      </c>
      <c r="AG25" s="25" t="s">
        <v>292</v>
      </c>
      <c r="AH25" s="25" t="s">
        <v>274</v>
      </c>
      <c r="AI25" s="123">
        <v>82</v>
      </c>
      <c r="AJ25" s="25" t="s">
        <v>314</v>
      </c>
      <c r="AK25" s="25">
        <v>0.2</v>
      </c>
      <c r="AL25" s="107" t="s">
        <v>538</v>
      </c>
      <c r="AM25" s="169" t="s">
        <v>6</v>
      </c>
      <c r="AN25" s="166" t="s">
        <v>536</v>
      </c>
      <c r="AO25" s="169" t="s">
        <v>5</v>
      </c>
      <c r="AP25" s="202" t="s">
        <v>579</v>
      </c>
      <c r="AQ25" s="201" t="s">
        <v>274</v>
      </c>
    </row>
    <row r="26" spans="1:43" x14ac:dyDescent="0.25">
      <c r="A26" s="40" t="s">
        <v>40</v>
      </c>
      <c r="B26" s="31" t="s">
        <v>112</v>
      </c>
      <c r="C26" s="31">
        <v>200000000</v>
      </c>
      <c r="D26" s="31">
        <v>500000</v>
      </c>
      <c r="E26" s="25">
        <v>100</v>
      </c>
      <c r="F26" s="25" t="s">
        <v>5</v>
      </c>
      <c r="G26" s="25">
        <v>500</v>
      </c>
      <c r="H26" s="25"/>
      <c r="I26" s="25"/>
      <c r="J26" s="25"/>
      <c r="K26" s="115" t="s">
        <v>6</v>
      </c>
      <c r="L26" s="115" t="s">
        <v>321</v>
      </c>
      <c r="M26" s="115">
        <v>1</v>
      </c>
      <c r="N26" s="115">
        <v>100</v>
      </c>
      <c r="O26" s="67" t="s">
        <v>6</v>
      </c>
      <c r="P26" s="108" t="s">
        <v>274</v>
      </c>
      <c r="Q26" s="67" t="s">
        <v>6</v>
      </c>
      <c r="R26" s="130" t="s">
        <v>6</v>
      </c>
      <c r="S26" s="67" t="s">
        <v>6</v>
      </c>
      <c r="T26" s="67" t="s">
        <v>6</v>
      </c>
      <c r="U26" s="67" t="s">
        <v>6</v>
      </c>
      <c r="V26" s="108" t="s">
        <v>274</v>
      </c>
      <c r="W26" s="67" t="s">
        <v>6</v>
      </c>
      <c r="X26" s="25" t="s">
        <v>212</v>
      </c>
      <c r="Y26" s="41" t="s">
        <v>6</v>
      </c>
      <c r="Z26" s="41" t="s">
        <v>5</v>
      </c>
      <c r="AA26" s="41" t="s">
        <v>6</v>
      </c>
      <c r="AB26" s="25" t="s">
        <v>274</v>
      </c>
      <c r="AC26" s="25">
        <v>4</v>
      </c>
      <c r="AD26" s="40"/>
      <c r="AE26" s="108" t="s">
        <v>283</v>
      </c>
      <c r="AF26" s="25" t="s">
        <v>6</v>
      </c>
      <c r="AG26" s="25" t="s">
        <v>292</v>
      </c>
      <c r="AH26" s="25" t="s">
        <v>274</v>
      </c>
      <c r="AI26" s="123">
        <v>6</v>
      </c>
      <c r="AJ26" s="25" t="s">
        <v>314</v>
      </c>
      <c r="AK26" s="25">
        <v>0.1</v>
      </c>
      <c r="AL26" s="107" t="s">
        <v>538</v>
      </c>
      <c r="AM26" s="169" t="s">
        <v>6</v>
      </c>
      <c r="AN26" s="166" t="s">
        <v>536</v>
      </c>
      <c r="AO26" s="169" t="s">
        <v>5</v>
      </c>
      <c r="AP26" s="202" t="s">
        <v>579</v>
      </c>
      <c r="AQ26" s="201" t="s">
        <v>274</v>
      </c>
    </row>
    <row r="27" spans="1:43" ht="15" customHeight="1" x14ac:dyDescent="0.25">
      <c r="A27" s="40" t="s">
        <v>144</v>
      </c>
      <c r="B27" s="31" t="s">
        <v>112</v>
      </c>
      <c r="C27" s="123">
        <v>200000000</v>
      </c>
      <c r="D27" s="31">
        <v>500000</v>
      </c>
      <c r="E27" s="25">
        <v>100</v>
      </c>
      <c r="F27" s="25" t="s">
        <v>5</v>
      </c>
      <c r="G27" s="25">
        <v>500</v>
      </c>
      <c r="H27" s="25"/>
      <c r="I27" s="25"/>
      <c r="J27" s="25"/>
      <c r="K27" s="115" t="s">
        <v>6</v>
      </c>
      <c r="L27" s="115" t="s">
        <v>321</v>
      </c>
      <c r="M27" s="115">
        <v>1</v>
      </c>
      <c r="N27" s="115">
        <v>100</v>
      </c>
      <c r="O27" s="67" t="s">
        <v>6</v>
      </c>
      <c r="P27" s="108" t="s">
        <v>274</v>
      </c>
      <c r="Q27" s="67" t="s">
        <v>6</v>
      </c>
      <c r="R27" s="130" t="s">
        <v>6</v>
      </c>
      <c r="S27" s="67" t="s">
        <v>6</v>
      </c>
      <c r="T27" s="67" t="s">
        <v>6</v>
      </c>
      <c r="U27" s="67" t="s">
        <v>6</v>
      </c>
      <c r="V27" s="108" t="s">
        <v>274</v>
      </c>
      <c r="W27" s="67" t="s">
        <v>6</v>
      </c>
      <c r="X27" s="25" t="s">
        <v>212</v>
      </c>
      <c r="Y27" s="41" t="s">
        <v>6</v>
      </c>
      <c r="Z27" s="41" t="s">
        <v>5</v>
      </c>
      <c r="AA27" s="41" t="s">
        <v>6</v>
      </c>
      <c r="AB27" s="25" t="s">
        <v>274</v>
      </c>
      <c r="AC27" s="25">
        <v>4</v>
      </c>
      <c r="AD27" s="40"/>
      <c r="AE27" s="108" t="s">
        <v>283</v>
      </c>
      <c r="AF27" s="25" t="s">
        <v>6</v>
      </c>
      <c r="AG27" s="25" t="s">
        <v>292</v>
      </c>
      <c r="AH27" s="25" t="s">
        <v>274</v>
      </c>
      <c r="AI27" s="123">
        <v>6</v>
      </c>
      <c r="AJ27" s="25" t="s">
        <v>314</v>
      </c>
      <c r="AK27" s="25">
        <v>0.1</v>
      </c>
      <c r="AL27" s="107" t="s">
        <v>538</v>
      </c>
      <c r="AM27" s="169" t="s">
        <v>6</v>
      </c>
      <c r="AN27" s="166" t="s">
        <v>536</v>
      </c>
      <c r="AO27" s="169" t="s">
        <v>5</v>
      </c>
      <c r="AP27" s="202" t="s">
        <v>579</v>
      </c>
      <c r="AQ27" s="201" t="s">
        <v>274</v>
      </c>
    </row>
    <row r="29" spans="1:43" x14ac:dyDescent="0.25">
      <c r="A29" s="110">
        <v>1</v>
      </c>
      <c r="B29" s="110">
        <v>2</v>
      </c>
      <c r="C29" s="110">
        <v>3</v>
      </c>
      <c r="D29" s="117">
        <v>4</v>
      </c>
      <c r="E29" s="117">
        <v>5</v>
      </c>
      <c r="F29" s="117">
        <v>6</v>
      </c>
      <c r="G29" s="117">
        <v>7</v>
      </c>
      <c r="H29" s="117">
        <v>8</v>
      </c>
      <c r="I29" s="117">
        <v>9</v>
      </c>
      <c r="J29" s="117">
        <v>10</v>
      </c>
      <c r="K29" s="117">
        <v>11</v>
      </c>
      <c r="L29" s="117">
        <v>12</v>
      </c>
      <c r="M29" s="117">
        <v>13</v>
      </c>
      <c r="N29" s="117">
        <v>14</v>
      </c>
      <c r="O29" s="117">
        <v>15</v>
      </c>
      <c r="P29" s="117">
        <v>16</v>
      </c>
      <c r="Q29" s="117">
        <v>17</v>
      </c>
      <c r="R29" s="132">
        <v>18</v>
      </c>
      <c r="S29" s="117">
        <v>19</v>
      </c>
      <c r="T29" s="117">
        <v>20</v>
      </c>
      <c r="U29" s="117">
        <v>21</v>
      </c>
      <c r="V29" s="117">
        <v>22</v>
      </c>
      <c r="W29" s="117">
        <v>23</v>
      </c>
      <c r="X29" s="117">
        <v>24</v>
      </c>
      <c r="Y29" s="117">
        <v>25</v>
      </c>
      <c r="Z29" s="117">
        <v>26</v>
      </c>
      <c r="AA29" s="117">
        <v>27</v>
      </c>
      <c r="AB29" s="117">
        <v>28</v>
      </c>
      <c r="AC29" s="125">
        <v>29</v>
      </c>
      <c r="AD29" s="125">
        <v>30</v>
      </c>
      <c r="AE29" s="125">
        <v>31</v>
      </c>
      <c r="AF29" s="125">
        <v>32</v>
      </c>
      <c r="AG29" s="125">
        <v>33</v>
      </c>
      <c r="AH29" s="125">
        <v>34</v>
      </c>
      <c r="AI29" s="125">
        <v>35</v>
      </c>
      <c r="AJ29" s="125">
        <v>36</v>
      </c>
      <c r="AK29" s="138">
        <v>37</v>
      </c>
      <c r="AL29" s="148">
        <v>38</v>
      </c>
      <c r="AM29" s="148">
        <v>39</v>
      </c>
      <c r="AN29" s="148">
        <v>40</v>
      </c>
      <c r="AO29" s="148">
        <v>41</v>
      </c>
      <c r="AP29" s="200">
        <v>42</v>
      </c>
      <c r="AQ29" s="200">
        <v>43</v>
      </c>
    </row>
  </sheetData>
  <mergeCells count="34">
    <mergeCell ref="AP1:AP2"/>
    <mergeCell ref="AQ1:AQ2"/>
    <mergeCell ref="AK1:AK2"/>
    <mergeCell ref="AJ1:AJ2"/>
    <mergeCell ref="AE1:AE2"/>
    <mergeCell ref="AF1:AF2"/>
    <mergeCell ref="AG1:AG2"/>
    <mergeCell ref="AH1:AH2"/>
    <mergeCell ref="AL1:AL2"/>
    <mergeCell ref="AM1:AM2"/>
    <mergeCell ref="AN1:AN2"/>
    <mergeCell ref="AO1:AO2"/>
    <mergeCell ref="I1:J1"/>
    <mergeCell ref="O1:O2"/>
    <mergeCell ref="Q1:Q2"/>
    <mergeCell ref="R1:R2"/>
    <mergeCell ref="S1:S2"/>
    <mergeCell ref="P1:P2"/>
    <mergeCell ref="K1:K2"/>
    <mergeCell ref="L1:L2"/>
    <mergeCell ref="N1:N2"/>
    <mergeCell ref="M1:M2"/>
    <mergeCell ref="T1:T2"/>
    <mergeCell ref="U1:U2"/>
    <mergeCell ref="W1:W2"/>
    <mergeCell ref="X1:X2"/>
    <mergeCell ref="Y1:Y2"/>
    <mergeCell ref="AD1:AD2"/>
    <mergeCell ref="AB1:AB2"/>
    <mergeCell ref="AI1:AI2"/>
    <mergeCell ref="V1:V2"/>
    <mergeCell ref="AA1:AA2"/>
    <mergeCell ref="Z1:Z2"/>
    <mergeCell ref="AC1:AC2"/>
  </mergeCells>
  <pageMargins left="0.7" right="0.7" top="0.75" bottom="0.75" header="0.3" footer="0.3"/>
  <pageSetup orientation="portrait" horizontalDpi="300" verticalDpi="3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37"/>
  <sheetViews>
    <sheetView workbookViewId="0">
      <selection activeCell="E20" sqref="E20"/>
    </sheetView>
  </sheetViews>
  <sheetFormatPr defaultRowHeight="15" x14ac:dyDescent="0.25"/>
  <cols>
    <col min="1" max="1" width="45.7109375" customWidth="1"/>
    <col min="2" max="2" width="39.140625" customWidth="1"/>
    <col min="3" max="3" width="57.42578125" customWidth="1"/>
  </cols>
  <sheetData>
    <row r="1" spans="1:12" ht="25.5" customHeight="1" thickBot="1" x14ac:dyDescent="0.3">
      <c r="A1" s="2" t="s">
        <v>24</v>
      </c>
      <c r="B1" s="2" t="s">
        <v>7</v>
      </c>
      <c r="C1" s="2" t="s">
        <v>47</v>
      </c>
    </row>
    <row r="2" spans="1:12" ht="18" customHeight="1" thickTop="1" x14ac:dyDescent="0.25">
      <c r="A2" s="253" t="s">
        <v>8</v>
      </c>
      <c r="B2" s="253" t="s">
        <v>9</v>
      </c>
      <c r="C2" s="3" t="s">
        <v>43</v>
      </c>
    </row>
    <row r="3" spans="1:12" ht="15.75" x14ac:dyDescent="0.25">
      <c r="A3" s="250"/>
      <c r="B3" s="250"/>
      <c r="C3" s="4" t="s">
        <v>29</v>
      </c>
    </row>
    <row r="4" spans="1:12" ht="16.5" customHeight="1" thickBot="1" x14ac:dyDescent="0.3">
      <c r="A4" s="251"/>
      <c r="B4" s="251"/>
      <c r="C4" s="5" t="s">
        <v>38</v>
      </c>
    </row>
    <row r="5" spans="1:12" ht="18" customHeight="1" x14ac:dyDescent="0.25">
      <c r="A5" s="6" t="s">
        <v>10</v>
      </c>
      <c r="B5" s="246" t="s">
        <v>12</v>
      </c>
      <c r="C5" s="6" t="s">
        <v>44</v>
      </c>
      <c r="F5" s="16"/>
      <c r="G5" s="16"/>
      <c r="H5" s="19"/>
      <c r="I5" s="19"/>
      <c r="J5" s="19"/>
      <c r="K5" s="16"/>
      <c r="L5" s="17"/>
    </row>
    <row r="6" spans="1:12" ht="10.5" customHeight="1" x14ac:dyDescent="0.25">
      <c r="A6" s="7" t="s">
        <v>11</v>
      </c>
      <c r="B6" s="247"/>
      <c r="C6" s="7" t="s">
        <v>43</v>
      </c>
      <c r="F6" s="16"/>
      <c r="G6" s="16"/>
      <c r="H6" s="16"/>
      <c r="I6" s="16" t="s">
        <v>46</v>
      </c>
      <c r="J6" s="18"/>
      <c r="K6" s="18"/>
      <c r="L6" s="17"/>
    </row>
    <row r="7" spans="1:12" ht="15" customHeight="1" thickBot="1" x14ac:dyDescent="0.3">
      <c r="A7" s="8"/>
      <c r="B7" s="248"/>
      <c r="C7" s="9" t="s">
        <v>38</v>
      </c>
      <c r="F7" s="16"/>
      <c r="G7" s="17"/>
      <c r="H7" s="17"/>
      <c r="I7" s="16" t="s">
        <v>48</v>
      </c>
      <c r="J7" s="19"/>
      <c r="K7" s="16"/>
      <c r="L7" s="17"/>
    </row>
    <row r="8" spans="1:12" ht="17.25" customHeight="1" x14ac:dyDescent="0.25">
      <c r="A8" s="10" t="s">
        <v>13</v>
      </c>
      <c r="B8" s="249" t="s">
        <v>16</v>
      </c>
      <c r="C8" s="10" t="s">
        <v>33</v>
      </c>
      <c r="F8" s="16"/>
      <c r="G8" s="21"/>
      <c r="H8" s="16"/>
      <c r="I8" s="16" t="s">
        <v>65</v>
      </c>
      <c r="J8" s="16"/>
      <c r="K8" s="16"/>
      <c r="L8" s="17"/>
    </row>
    <row r="9" spans="1:12" ht="16.5" customHeight="1" x14ac:dyDescent="0.25">
      <c r="A9" s="4" t="s">
        <v>14</v>
      </c>
      <c r="B9" s="250"/>
      <c r="C9" s="4" t="s">
        <v>45</v>
      </c>
      <c r="F9" s="16"/>
      <c r="G9" s="16"/>
      <c r="H9" s="16"/>
      <c r="I9" s="16"/>
      <c r="J9" s="16"/>
      <c r="K9" s="16"/>
      <c r="L9" s="17"/>
    </row>
    <row r="10" spans="1:12" ht="15" customHeight="1" x14ac:dyDescent="0.25">
      <c r="A10" s="4" t="s">
        <v>15</v>
      </c>
      <c r="B10" s="250"/>
      <c r="C10" s="4" t="s">
        <v>38</v>
      </c>
      <c r="F10" s="16"/>
      <c r="G10" s="16"/>
      <c r="H10" s="16"/>
      <c r="I10" s="16" t="s">
        <v>68</v>
      </c>
      <c r="J10" s="16"/>
      <c r="K10" s="16"/>
      <c r="L10" s="17"/>
    </row>
    <row r="11" spans="1:12" ht="16.5" thickBot="1" x14ac:dyDescent="0.3">
      <c r="A11" s="11"/>
      <c r="B11" s="251"/>
      <c r="C11" s="5" t="s">
        <v>29</v>
      </c>
      <c r="F11" s="16"/>
      <c r="G11" s="16"/>
      <c r="H11" s="16"/>
      <c r="I11" s="16" t="s">
        <v>69</v>
      </c>
      <c r="J11" s="16"/>
      <c r="K11" s="16"/>
      <c r="L11" s="17"/>
    </row>
    <row r="12" spans="1:12" ht="15.75" x14ac:dyDescent="0.25">
      <c r="A12" s="246" t="s">
        <v>17</v>
      </c>
      <c r="B12" s="246" t="s">
        <v>16</v>
      </c>
      <c r="C12" s="6" t="s">
        <v>45</v>
      </c>
      <c r="F12" s="16"/>
      <c r="G12" s="16"/>
      <c r="H12" s="16"/>
      <c r="I12" s="16" t="s">
        <v>70</v>
      </c>
      <c r="J12" s="16"/>
      <c r="K12" s="16"/>
      <c r="L12" s="17"/>
    </row>
    <row r="13" spans="1:12" ht="20.25" customHeight="1" x14ac:dyDescent="0.25">
      <c r="A13" s="247"/>
      <c r="B13" s="247"/>
      <c r="C13" s="7" t="s">
        <v>38</v>
      </c>
      <c r="F13" s="16"/>
      <c r="G13" s="16"/>
      <c r="H13" s="16"/>
      <c r="I13" s="16" t="s">
        <v>71</v>
      </c>
      <c r="J13" s="16"/>
      <c r="K13" s="16"/>
      <c r="L13" s="17"/>
    </row>
    <row r="14" spans="1:12" ht="16.5" thickBot="1" x14ac:dyDescent="0.3">
      <c r="A14" s="248"/>
      <c r="B14" s="248"/>
      <c r="C14" s="9" t="s">
        <v>29</v>
      </c>
      <c r="F14" s="17"/>
      <c r="G14" s="17"/>
      <c r="H14" s="17"/>
      <c r="I14" s="17" t="s">
        <v>72</v>
      </c>
      <c r="J14" s="17"/>
      <c r="K14" s="17"/>
      <c r="L14" s="17"/>
    </row>
    <row r="15" spans="1:12" ht="40.5" customHeight="1" thickBot="1" x14ac:dyDescent="0.3">
      <c r="A15" s="12" t="s">
        <v>18</v>
      </c>
      <c r="B15" s="12" t="s">
        <v>16</v>
      </c>
      <c r="C15" s="12" t="s">
        <v>33</v>
      </c>
      <c r="F15" s="17"/>
      <c r="G15" s="17"/>
      <c r="H15" s="17"/>
      <c r="I15" s="17"/>
      <c r="J15" s="17"/>
      <c r="K15" s="17"/>
      <c r="L15" s="17"/>
    </row>
    <row r="16" spans="1:12" ht="17.25" customHeight="1" x14ac:dyDescent="0.25">
      <c r="A16" s="13"/>
      <c r="B16" s="246" t="s">
        <v>20</v>
      </c>
      <c r="C16" s="6" t="s">
        <v>33</v>
      </c>
    </row>
    <row r="17" spans="1:3" ht="17.25" customHeight="1" x14ac:dyDescent="0.25">
      <c r="A17" s="7" t="s">
        <v>19</v>
      </c>
      <c r="B17" s="247"/>
      <c r="C17" s="7" t="s">
        <v>38</v>
      </c>
    </row>
    <row r="18" spans="1:3" ht="15.75" x14ac:dyDescent="0.25">
      <c r="A18" s="14"/>
      <c r="B18" s="247"/>
      <c r="C18" s="7" t="s">
        <v>29</v>
      </c>
    </row>
    <row r="19" spans="1:3" ht="16.5" thickBot="1" x14ac:dyDescent="0.3">
      <c r="A19" s="8"/>
      <c r="B19" s="248"/>
      <c r="C19" s="9" t="s">
        <v>45</v>
      </c>
    </row>
    <row r="20" spans="1:3" ht="18" customHeight="1" x14ac:dyDescent="0.25">
      <c r="A20" s="249" t="s">
        <v>21</v>
      </c>
      <c r="B20" s="249" t="s">
        <v>20</v>
      </c>
      <c r="C20" s="10" t="s">
        <v>33</v>
      </c>
    </row>
    <row r="21" spans="1:3" ht="15.75" customHeight="1" x14ac:dyDescent="0.25">
      <c r="A21" s="250"/>
      <c r="B21" s="250"/>
      <c r="C21" s="4" t="s">
        <v>38</v>
      </c>
    </row>
    <row r="22" spans="1:3" ht="15.75" x14ac:dyDescent="0.25">
      <c r="A22" s="250"/>
      <c r="B22" s="250"/>
      <c r="C22" s="4" t="s">
        <v>29</v>
      </c>
    </row>
    <row r="23" spans="1:3" ht="16.5" thickBot="1" x14ac:dyDescent="0.3">
      <c r="A23" s="251"/>
      <c r="B23" s="251"/>
      <c r="C23" s="5" t="s">
        <v>45</v>
      </c>
    </row>
    <row r="24" spans="1:3" ht="16.5" thickBot="1" x14ac:dyDescent="0.3">
      <c r="A24" s="15" t="s">
        <v>22</v>
      </c>
      <c r="B24" s="15" t="s">
        <v>23</v>
      </c>
      <c r="C24" s="15" t="s">
        <v>29</v>
      </c>
    </row>
    <row r="25" spans="1:3" ht="15.75" x14ac:dyDescent="0.25">
      <c r="A25" s="6" t="s">
        <v>25</v>
      </c>
      <c r="B25" s="246" t="s">
        <v>28</v>
      </c>
      <c r="C25" s="246" t="s">
        <v>29</v>
      </c>
    </row>
    <row r="26" spans="1:3" ht="15.75" x14ac:dyDescent="0.25">
      <c r="A26" s="7" t="s">
        <v>26</v>
      </c>
      <c r="B26" s="247"/>
      <c r="C26" s="247"/>
    </row>
    <row r="27" spans="1:3" ht="15.75" customHeight="1" thickBot="1" x14ac:dyDescent="0.3">
      <c r="A27" s="20" t="s">
        <v>27</v>
      </c>
      <c r="B27" s="252"/>
      <c r="C27" s="252"/>
    </row>
    <row r="28" spans="1:3" ht="16.5" thickTop="1" x14ac:dyDescent="0.25">
      <c r="A28" s="3" t="s">
        <v>30</v>
      </c>
      <c r="B28" s="253" t="s">
        <v>28</v>
      </c>
      <c r="C28" s="3" t="s">
        <v>29</v>
      </c>
    </row>
    <row r="29" spans="1:3" ht="15.75" x14ac:dyDescent="0.25">
      <c r="A29" s="4" t="s">
        <v>31</v>
      </c>
      <c r="B29" s="250"/>
      <c r="C29" s="4" t="s">
        <v>33</v>
      </c>
    </row>
    <row r="30" spans="1:3" ht="16.5" thickBot="1" x14ac:dyDescent="0.3">
      <c r="A30" s="5" t="s">
        <v>32</v>
      </c>
      <c r="B30" s="251"/>
      <c r="C30" s="11"/>
    </row>
    <row r="31" spans="1:3" ht="15.75" x14ac:dyDescent="0.25">
      <c r="A31" s="6" t="s">
        <v>34</v>
      </c>
      <c r="B31" s="246" t="s">
        <v>37</v>
      </c>
      <c r="C31" s="6" t="s">
        <v>29</v>
      </c>
    </row>
    <row r="32" spans="1:3" ht="15.75" x14ac:dyDescent="0.25">
      <c r="A32" s="7" t="s">
        <v>35</v>
      </c>
      <c r="B32" s="247"/>
      <c r="C32" s="7" t="s">
        <v>38</v>
      </c>
    </row>
    <row r="33" spans="1:3" ht="16.5" thickBot="1" x14ac:dyDescent="0.3">
      <c r="A33" s="9" t="s">
        <v>36</v>
      </c>
      <c r="B33" s="248"/>
      <c r="C33" s="8"/>
    </row>
    <row r="34" spans="1:3" ht="16.5" thickBot="1" x14ac:dyDescent="0.3">
      <c r="A34" s="12" t="s">
        <v>39</v>
      </c>
      <c r="B34" s="12" t="s">
        <v>37</v>
      </c>
      <c r="C34" s="12" t="s">
        <v>29</v>
      </c>
    </row>
    <row r="35" spans="1:3" ht="15.75" x14ac:dyDescent="0.25">
      <c r="A35" s="6" t="s">
        <v>40</v>
      </c>
      <c r="B35" s="246" t="s">
        <v>42</v>
      </c>
      <c r="C35" s="6" t="s">
        <v>29</v>
      </c>
    </row>
    <row r="36" spans="1:3" ht="15" customHeight="1" x14ac:dyDescent="0.25">
      <c r="A36" s="7" t="s">
        <v>41</v>
      </c>
      <c r="B36" s="247"/>
      <c r="C36" s="7" t="s">
        <v>38</v>
      </c>
    </row>
    <row r="37" spans="1:3" ht="16.5" thickBot="1" x14ac:dyDescent="0.3">
      <c r="A37" s="8"/>
      <c r="B37" s="248"/>
      <c r="C37" s="9" t="s">
        <v>33</v>
      </c>
    </row>
  </sheetData>
  <mergeCells count="14">
    <mergeCell ref="C25:C27"/>
    <mergeCell ref="B28:B30"/>
    <mergeCell ref="A2:A4"/>
    <mergeCell ref="B2:B4"/>
    <mergeCell ref="B5:B7"/>
    <mergeCell ref="B8:B11"/>
    <mergeCell ref="A12:A14"/>
    <mergeCell ref="B12:B14"/>
    <mergeCell ref="B31:B33"/>
    <mergeCell ref="B35:B37"/>
    <mergeCell ref="B16:B19"/>
    <mergeCell ref="A20:A23"/>
    <mergeCell ref="B20:B23"/>
    <mergeCell ref="B25:B2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1"/>
  <sheetViews>
    <sheetView workbookViewId="0">
      <selection activeCell="C10" sqref="C10"/>
    </sheetView>
  </sheetViews>
  <sheetFormatPr defaultRowHeight="15" x14ac:dyDescent="0.25"/>
  <cols>
    <col min="1" max="1" width="13.28515625" bestFit="1" customWidth="1"/>
    <col min="2" max="2" width="6.85546875" bestFit="1" customWidth="1"/>
    <col min="3" max="3" width="45.85546875" style="1" bestFit="1" customWidth="1"/>
    <col min="4" max="4" width="101.5703125" customWidth="1"/>
  </cols>
  <sheetData>
    <row r="1" spans="1:14" x14ac:dyDescent="0.25">
      <c r="A1" s="23" t="s">
        <v>54</v>
      </c>
      <c r="B1" s="23" t="s">
        <v>55</v>
      </c>
      <c r="C1" s="24" t="s">
        <v>49</v>
      </c>
      <c r="D1" s="24" t="s">
        <v>53</v>
      </c>
    </row>
    <row r="2" spans="1:14" ht="60" x14ac:dyDescent="0.25">
      <c r="A2" s="254" t="s">
        <v>56</v>
      </c>
      <c r="B2" s="254" t="s">
        <v>56</v>
      </c>
      <c r="C2" s="25" t="s">
        <v>33</v>
      </c>
      <c r="D2" s="26" t="s">
        <v>63</v>
      </c>
      <c r="G2" s="22"/>
    </row>
    <row r="3" spans="1:14" ht="45" x14ac:dyDescent="0.25">
      <c r="A3" s="254"/>
      <c r="B3" s="254"/>
      <c r="C3" s="25" t="s">
        <v>50</v>
      </c>
      <c r="D3" s="26" t="s">
        <v>62</v>
      </c>
      <c r="H3" s="16"/>
      <c r="I3" s="16"/>
      <c r="J3" s="19"/>
      <c r="K3" s="19"/>
      <c r="L3" s="19"/>
      <c r="M3" s="16"/>
      <c r="N3" s="17"/>
    </row>
    <row r="4" spans="1:14" ht="45" x14ac:dyDescent="0.25">
      <c r="A4" s="254"/>
      <c r="B4" s="254"/>
      <c r="C4" s="25" t="s">
        <v>51</v>
      </c>
      <c r="D4" s="26" t="s">
        <v>64</v>
      </c>
      <c r="H4" s="16"/>
      <c r="I4" s="16"/>
      <c r="J4" s="16"/>
      <c r="K4" s="16"/>
      <c r="L4" s="18"/>
      <c r="M4" s="18"/>
      <c r="N4" s="17"/>
    </row>
    <row r="5" spans="1:14" ht="30" x14ac:dyDescent="0.25">
      <c r="A5" s="254"/>
      <c r="B5" s="254"/>
      <c r="C5" s="25" t="s">
        <v>52</v>
      </c>
      <c r="D5" s="26" t="s">
        <v>60</v>
      </c>
      <c r="H5" s="16"/>
      <c r="I5" s="17"/>
      <c r="J5" s="17"/>
      <c r="K5" s="16"/>
      <c r="L5" s="19"/>
      <c r="M5" s="16"/>
      <c r="N5" s="17"/>
    </row>
    <row r="6" spans="1:14" ht="285" x14ac:dyDescent="0.25">
      <c r="A6" s="254"/>
      <c r="B6" s="254"/>
      <c r="C6" s="25" t="s">
        <v>44</v>
      </c>
      <c r="D6" s="27" t="s">
        <v>61</v>
      </c>
      <c r="H6" s="255" t="s">
        <v>67</v>
      </c>
      <c r="I6" s="255"/>
      <c r="J6" s="255"/>
      <c r="K6" s="255"/>
      <c r="L6" s="255"/>
      <c r="M6" s="255"/>
      <c r="N6" s="255"/>
    </row>
    <row r="7" spans="1:14" x14ac:dyDescent="0.25">
      <c r="A7" s="254"/>
      <c r="B7" s="254"/>
      <c r="C7" s="25" t="s">
        <v>45</v>
      </c>
      <c r="D7" s="26" t="s">
        <v>57</v>
      </c>
      <c r="H7" s="16"/>
      <c r="I7" s="16"/>
      <c r="J7" s="16"/>
      <c r="K7" s="16"/>
      <c r="L7" s="16"/>
      <c r="M7" s="16"/>
      <c r="N7" s="17"/>
    </row>
    <row r="8" spans="1:14" x14ac:dyDescent="0.25">
      <c r="A8" s="254"/>
      <c r="B8" s="254"/>
      <c r="C8" s="25" t="s">
        <v>29</v>
      </c>
      <c r="D8" s="26" t="s">
        <v>59</v>
      </c>
      <c r="H8" s="16"/>
      <c r="I8" s="16"/>
      <c r="J8" s="16"/>
      <c r="K8" s="16"/>
      <c r="L8" s="16"/>
      <c r="M8" s="16"/>
      <c r="N8" s="17"/>
    </row>
    <row r="9" spans="1:14" ht="30" x14ac:dyDescent="0.25">
      <c r="A9" s="254"/>
      <c r="B9" s="254"/>
      <c r="C9" s="25" t="s">
        <v>38</v>
      </c>
      <c r="D9" s="26" t="s">
        <v>58</v>
      </c>
      <c r="H9" s="16"/>
      <c r="I9" s="16"/>
      <c r="J9" s="16"/>
      <c r="K9" s="16"/>
      <c r="L9" s="16"/>
      <c r="M9" s="16"/>
      <c r="N9" s="17"/>
    </row>
    <row r="10" spans="1:14" ht="30" x14ac:dyDescent="0.25">
      <c r="A10" s="254"/>
      <c r="B10" s="254"/>
      <c r="C10" s="25" t="s">
        <v>66</v>
      </c>
      <c r="D10" s="26" t="s">
        <v>232</v>
      </c>
      <c r="H10" s="16"/>
      <c r="I10" s="16"/>
      <c r="J10" s="16"/>
      <c r="K10" s="16"/>
      <c r="L10" s="16"/>
      <c r="M10" s="16"/>
      <c r="N10" s="17"/>
    </row>
    <row r="11" spans="1:14" x14ac:dyDescent="0.25">
      <c r="H11" s="16"/>
      <c r="I11" s="16"/>
      <c r="J11" s="16"/>
      <c r="K11" s="16"/>
      <c r="L11" s="16"/>
      <c r="M11" s="16"/>
      <c r="N11" s="17"/>
    </row>
  </sheetData>
  <mergeCells count="3">
    <mergeCell ref="A2:A10"/>
    <mergeCell ref="B2:B10"/>
    <mergeCell ref="H6:N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V51"/>
  <sheetViews>
    <sheetView workbookViewId="0"/>
  </sheetViews>
  <sheetFormatPr defaultRowHeight="18.75" x14ac:dyDescent="0.3"/>
  <cols>
    <col min="1" max="1" width="11.42578125" style="59" bestFit="1" customWidth="1"/>
    <col min="2" max="2" width="12.7109375" style="45" bestFit="1" customWidth="1"/>
    <col min="3" max="3" width="12.7109375" style="45" customWidth="1"/>
    <col min="4" max="4" width="12.7109375" style="45" bestFit="1" customWidth="1"/>
    <col min="5" max="5" width="12.7109375" style="45" customWidth="1"/>
    <col min="6" max="6" width="12.7109375" style="45" bestFit="1" customWidth="1"/>
    <col min="7" max="9" width="12.7109375" style="45" customWidth="1"/>
    <col min="10" max="10" width="14.42578125" style="45" bestFit="1" customWidth="1"/>
    <col min="11" max="11" width="14.42578125" style="45" customWidth="1"/>
    <col min="12" max="12" width="14.42578125" style="45" bestFit="1" customWidth="1"/>
    <col min="13" max="13" width="14.42578125" style="45" customWidth="1"/>
    <col min="14" max="14" width="15.42578125" style="45" bestFit="1" customWidth="1"/>
    <col min="15" max="15" width="15.42578125" style="45" customWidth="1"/>
    <col min="16" max="16" width="31.28515625" style="45" bestFit="1" customWidth="1"/>
    <col min="17" max="17" width="31.28515625" style="45" customWidth="1"/>
    <col min="18" max="18" width="31.28515625" style="45" bestFit="1" customWidth="1"/>
    <col min="19" max="19" width="31.28515625" style="45" customWidth="1"/>
    <col min="20" max="20" width="31.28515625" style="45" bestFit="1" customWidth="1"/>
    <col min="21" max="21" width="31.28515625" style="45" customWidth="1"/>
    <col min="22" max="22" width="31.28515625" style="45" bestFit="1" customWidth="1"/>
    <col min="23" max="23" width="31.28515625" style="45" customWidth="1"/>
    <col min="24" max="24" width="29.5703125" style="45" bestFit="1" customWidth="1"/>
    <col min="25" max="25" width="29.5703125" style="45" customWidth="1"/>
    <col min="26" max="26" width="29.5703125" style="45" bestFit="1" customWidth="1"/>
    <col min="27" max="27" width="29.5703125" style="45" customWidth="1"/>
    <col min="28" max="28" width="31.28515625" style="45" bestFit="1" customWidth="1"/>
    <col min="29" max="29" width="31.28515625" style="45" customWidth="1"/>
    <col min="30" max="30" width="29.5703125" style="45" bestFit="1" customWidth="1"/>
    <col min="31" max="31" width="29.5703125" style="45" customWidth="1"/>
    <col min="32" max="32" width="31.28515625" style="45" bestFit="1" customWidth="1"/>
    <col min="33" max="33" width="31.28515625" style="45" customWidth="1"/>
    <col min="34" max="34" width="32.85546875" style="45" bestFit="1" customWidth="1"/>
    <col min="35" max="35" width="32.85546875" style="45" customWidth="1"/>
    <col min="36" max="36" width="32.85546875" style="45" bestFit="1" customWidth="1"/>
    <col min="37" max="37" width="32.85546875" style="45" customWidth="1"/>
    <col min="38" max="38" width="31.28515625" style="45" bestFit="1" customWidth="1"/>
    <col min="39" max="39" width="31.28515625" style="45" customWidth="1"/>
    <col min="40" max="40" width="31.28515625" style="45" bestFit="1" customWidth="1"/>
    <col min="41" max="41" width="31.28515625" style="45" customWidth="1"/>
    <col min="42" max="42" width="31.28515625" style="45" bestFit="1" customWidth="1"/>
    <col min="43" max="43" width="31.28515625" style="45" customWidth="1"/>
    <col min="44" max="44" width="31.28515625" style="45" bestFit="1" customWidth="1"/>
    <col min="45" max="45" width="31.28515625" style="45" customWidth="1"/>
    <col min="46" max="46" width="31.28515625" style="45" bestFit="1" customWidth="1"/>
    <col min="47" max="47" width="31.28515625" style="45" customWidth="1"/>
    <col min="48" max="48" width="32.85546875" style="45" bestFit="1" customWidth="1"/>
    <col min="49" max="49" width="32.85546875" style="45" customWidth="1"/>
    <col min="50" max="50" width="32.85546875" style="45" bestFit="1" customWidth="1"/>
    <col min="51" max="51" width="32.85546875" style="45" customWidth="1"/>
    <col min="52" max="52" width="32.85546875" style="45" bestFit="1" customWidth="1"/>
    <col min="53" max="53" width="32.85546875" style="45" customWidth="1"/>
    <col min="54" max="54" width="31.28515625" style="45" bestFit="1" customWidth="1"/>
    <col min="55" max="55" width="31.28515625" style="45" customWidth="1"/>
    <col min="56" max="56" width="32.85546875" style="45" bestFit="1" customWidth="1"/>
    <col min="57" max="57" width="32.85546875" style="45" customWidth="1"/>
    <col min="58" max="58" width="30.85546875" style="45" bestFit="1" customWidth="1"/>
    <col min="59" max="59" width="30.85546875" style="45" customWidth="1"/>
    <col min="60" max="60" width="30.85546875" style="45" bestFit="1" customWidth="1"/>
    <col min="61" max="61" width="30.85546875" style="45" customWidth="1"/>
    <col min="62" max="62" width="30.85546875" style="45" bestFit="1" customWidth="1"/>
    <col min="63" max="63" width="30.85546875" style="45" customWidth="1"/>
    <col min="64" max="64" width="30.85546875" style="45" bestFit="1" customWidth="1"/>
    <col min="65" max="65" width="30.85546875" style="45" customWidth="1"/>
    <col min="66" max="66" width="29.140625" style="45" bestFit="1" customWidth="1"/>
    <col min="67" max="67" width="29.140625" style="45" customWidth="1"/>
    <col min="68" max="68" width="30.85546875" style="45" bestFit="1" customWidth="1"/>
    <col min="69" max="69" width="30.85546875" style="45" customWidth="1"/>
    <col min="70" max="70" width="29.140625" style="45" bestFit="1" customWidth="1"/>
    <col min="71" max="71" width="29.140625" style="45" customWidth="1"/>
    <col min="72" max="72" width="32.42578125" style="45" bestFit="1" customWidth="1"/>
    <col min="73" max="73" width="32.42578125" style="45" customWidth="1"/>
    <col min="74" max="74" width="32.42578125" style="45" bestFit="1" customWidth="1"/>
    <col min="75" max="75" width="32.42578125" style="45" customWidth="1"/>
    <col min="76" max="76" width="30.85546875" style="45" bestFit="1" customWidth="1"/>
    <col min="77" max="77" width="30.85546875" style="45" customWidth="1"/>
    <col min="78" max="78" width="30.85546875" style="45" bestFit="1" customWidth="1"/>
    <col min="79" max="79" width="30.85546875" style="45" customWidth="1"/>
    <col min="80" max="80" width="30.85546875" style="45" bestFit="1" customWidth="1"/>
    <col min="81" max="81" width="30.85546875" style="45" customWidth="1"/>
    <col min="82" max="82" width="30.85546875" style="45" bestFit="1" customWidth="1"/>
    <col min="83" max="83" width="30.85546875" style="45" customWidth="1"/>
    <col min="84" max="84" width="30.85546875" style="45" bestFit="1" customWidth="1"/>
    <col min="85" max="85" width="30.85546875" style="45" customWidth="1"/>
    <col min="86" max="86" width="30.85546875" style="45" bestFit="1" customWidth="1"/>
    <col min="87" max="87" width="30.85546875" style="45" customWidth="1"/>
    <col min="88" max="88" width="30.85546875" style="45" bestFit="1" customWidth="1"/>
    <col min="89" max="89" width="30.85546875" style="45" customWidth="1"/>
    <col min="90" max="90" width="32.42578125" style="45" bestFit="1" customWidth="1"/>
    <col min="91" max="91" width="32.42578125" style="45" customWidth="1"/>
    <col min="92" max="92" width="32.42578125" style="45" bestFit="1" customWidth="1"/>
    <col min="93" max="93" width="32.42578125" style="45" customWidth="1"/>
    <col min="94" max="94" width="32.42578125" style="45" bestFit="1" customWidth="1"/>
    <col min="95" max="95" width="32.42578125" style="45" customWidth="1"/>
    <col min="96" max="96" width="41" style="45" bestFit="1" customWidth="1"/>
    <col min="97" max="97" width="41" style="45" customWidth="1"/>
    <col min="98" max="98" width="41" style="45" bestFit="1" customWidth="1"/>
    <col min="99" max="99" width="41" style="45" customWidth="1"/>
    <col min="100" max="100" width="32.42578125" style="45" bestFit="1" customWidth="1"/>
    <col min="101" max="103" width="30.85546875" style="45" bestFit="1" customWidth="1"/>
    <col min="104" max="104" width="30.85546875" style="45" customWidth="1"/>
    <col min="105" max="105" width="37.7109375" style="45" bestFit="1" customWidth="1"/>
    <col min="106" max="106" width="32.42578125" style="45" bestFit="1" customWidth="1"/>
    <col min="107" max="107" width="30.85546875" style="45" bestFit="1" customWidth="1"/>
    <col min="108" max="108" width="39.42578125" style="45" bestFit="1" customWidth="1"/>
    <col min="109" max="119" width="32.42578125" style="45" bestFit="1" customWidth="1"/>
    <col min="120" max="120" width="30.85546875" style="45" bestFit="1" customWidth="1"/>
    <col min="121" max="131" width="32.42578125" style="45" bestFit="1" customWidth="1"/>
    <col min="132" max="132" width="37.7109375" style="45" bestFit="1" customWidth="1"/>
    <col min="133" max="133" width="30.85546875" style="45" bestFit="1" customWidth="1"/>
    <col min="134" max="134" width="39.42578125" style="45" bestFit="1" customWidth="1"/>
    <col min="135" max="135" width="32.42578125" style="45" bestFit="1" customWidth="1"/>
    <col min="136" max="138" width="30.85546875" style="45" bestFit="1" customWidth="1"/>
    <col min="139" max="139" width="32.42578125" style="45" bestFit="1" customWidth="1"/>
    <col min="140" max="141" width="39.42578125" style="45" bestFit="1" customWidth="1"/>
    <col min="142" max="142" width="30.85546875" style="45" bestFit="1" customWidth="1"/>
    <col min="143" max="144" width="31.140625" bestFit="1" customWidth="1"/>
    <col min="145" max="145" width="31.140625" style="48" bestFit="1" customWidth="1"/>
    <col min="146" max="146" width="29.42578125" style="48" bestFit="1" customWidth="1"/>
    <col min="147" max="147" width="31.140625" style="48" bestFit="1" customWidth="1"/>
    <col min="148" max="148" width="29.42578125" style="48" bestFit="1" customWidth="1"/>
    <col min="149" max="149" width="31.140625" style="1" bestFit="1" customWidth="1"/>
    <col min="150" max="150" width="31.140625" style="86" customWidth="1"/>
    <col min="151" max="151" width="31.140625" style="48" bestFit="1" customWidth="1"/>
    <col min="152" max="152" width="32.7109375" style="48" bestFit="1" customWidth="1"/>
    <col min="153" max="153" width="31.140625" style="48" bestFit="1" customWidth="1"/>
    <col min="154" max="155" width="32.7109375" style="48" bestFit="1" customWidth="1"/>
    <col min="156" max="163" width="32.7109375" bestFit="1" customWidth="1"/>
    <col min="164" max="164" width="31.140625" bestFit="1" customWidth="1"/>
    <col min="165" max="165" width="32.7109375" bestFit="1" customWidth="1"/>
    <col min="166" max="167" width="38" bestFit="1" customWidth="1"/>
    <col min="168" max="168" width="32.7109375" bestFit="1" customWidth="1"/>
    <col min="169" max="169" width="32.7109375" style="86" customWidth="1"/>
    <col min="170" max="171" width="32.7109375" bestFit="1" customWidth="1"/>
    <col min="172" max="172" width="38" bestFit="1" customWidth="1"/>
    <col min="173" max="175" width="36.42578125" bestFit="1" customWidth="1"/>
    <col min="176" max="177" width="38" bestFit="1" customWidth="1"/>
  </cols>
  <sheetData>
    <row r="1" spans="1:178" ht="21" x14ac:dyDescent="0.25">
      <c r="A1" s="61" t="s">
        <v>159</v>
      </c>
      <c r="B1" s="61" t="s">
        <v>341</v>
      </c>
      <c r="C1" s="61"/>
      <c r="D1" s="61" t="s">
        <v>342</v>
      </c>
      <c r="E1" s="61"/>
      <c r="F1" s="61" t="s">
        <v>343</v>
      </c>
      <c r="G1" s="61"/>
      <c r="H1" s="61" t="s">
        <v>344</v>
      </c>
      <c r="I1" s="61"/>
      <c r="J1" s="61" t="s">
        <v>345</v>
      </c>
      <c r="K1" s="61"/>
      <c r="L1" s="61" t="s">
        <v>346</v>
      </c>
      <c r="M1" s="61"/>
      <c r="N1" s="61" t="s">
        <v>155</v>
      </c>
      <c r="O1" s="61"/>
      <c r="P1" s="61" t="s">
        <v>347</v>
      </c>
      <c r="Q1" s="61"/>
      <c r="R1" s="61" t="s">
        <v>348</v>
      </c>
      <c r="S1" s="61"/>
      <c r="T1" s="61" t="s">
        <v>349</v>
      </c>
      <c r="U1" s="61"/>
      <c r="V1" s="61" t="s">
        <v>350</v>
      </c>
      <c r="W1" s="61"/>
      <c r="X1" s="61" t="s">
        <v>351</v>
      </c>
      <c r="Y1" s="61"/>
      <c r="Z1" s="61" t="s">
        <v>352</v>
      </c>
      <c r="AA1" s="61"/>
      <c r="AB1" s="61" t="s">
        <v>353</v>
      </c>
      <c r="AC1" s="61"/>
      <c r="AD1" s="61" t="s">
        <v>354</v>
      </c>
      <c r="AE1" s="61"/>
      <c r="AF1" s="61" t="s">
        <v>355</v>
      </c>
      <c r="AG1" s="61"/>
      <c r="AH1" s="61" t="s">
        <v>356</v>
      </c>
      <c r="AI1" s="61"/>
      <c r="AJ1" s="61" t="s">
        <v>357</v>
      </c>
      <c r="AK1" s="61"/>
      <c r="AL1" s="61" t="s">
        <v>358</v>
      </c>
      <c r="AM1" s="61"/>
      <c r="AN1" s="61" t="s">
        <v>359</v>
      </c>
      <c r="AO1" s="61"/>
      <c r="AP1" s="61" t="s">
        <v>360</v>
      </c>
      <c r="AQ1" s="61"/>
      <c r="AR1" s="61" t="s">
        <v>361</v>
      </c>
      <c r="AS1" s="61"/>
      <c r="AT1" s="61" t="s">
        <v>362</v>
      </c>
      <c r="AU1" s="61"/>
      <c r="AV1" s="61" t="s">
        <v>363</v>
      </c>
      <c r="AW1" s="61"/>
      <c r="AX1" s="61" t="s">
        <v>364</v>
      </c>
      <c r="AY1" s="61"/>
      <c r="AZ1" s="61" t="s">
        <v>365</v>
      </c>
      <c r="BA1" s="61"/>
      <c r="BB1" s="61" t="s">
        <v>366</v>
      </c>
      <c r="BC1" s="61"/>
      <c r="BD1" s="61" t="s">
        <v>367</v>
      </c>
      <c r="BE1" s="61"/>
      <c r="BF1" s="61" t="s">
        <v>376</v>
      </c>
      <c r="BG1" s="61"/>
      <c r="BH1" s="61" t="s">
        <v>377</v>
      </c>
      <c r="BI1" s="61"/>
      <c r="BJ1" s="61" t="s">
        <v>378</v>
      </c>
      <c r="BK1" s="61"/>
      <c r="BL1" s="61" t="s">
        <v>379</v>
      </c>
      <c r="BM1" s="61"/>
      <c r="BN1" s="61" t="s">
        <v>380</v>
      </c>
      <c r="BO1" s="61"/>
      <c r="BP1" s="61" t="s">
        <v>381</v>
      </c>
      <c r="BQ1" s="61"/>
      <c r="BR1" s="61" t="s">
        <v>382</v>
      </c>
      <c r="BS1" s="61"/>
      <c r="BT1" s="61" t="s">
        <v>383</v>
      </c>
      <c r="BU1" s="61"/>
      <c r="BV1" s="61" t="s">
        <v>384</v>
      </c>
      <c r="BW1" s="61"/>
      <c r="BX1" s="61" t="s">
        <v>385</v>
      </c>
      <c r="BY1" s="61"/>
      <c r="BZ1" s="61" t="s">
        <v>386</v>
      </c>
      <c r="CA1" s="61"/>
      <c r="CB1" s="61" t="s">
        <v>387</v>
      </c>
      <c r="CC1" s="61"/>
      <c r="CD1" s="61" t="s">
        <v>388</v>
      </c>
      <c r="CE1" s="61"/>
      <c r="CF1" s="61" t="s">
        <v>389</v>
      </c>
      <c r="CG1" s="61"/>
      <c r="CH1" s="61" t="s">
        <v>390</v>
      </c>
      <c r="CI1" s="61"/>
      <c r="CJ1" s="61" t="s">
        <v>391</v>
      </c>
      <c r="CK1" s="61"/>
      <c r="CL1" s="61" t="s">
        <v>392</v>
      </c>
      <c r="CM1" s="61"/>
      <c r="CN1" s="61" t="s">
        <v>393</v>
      </c>
      <c r="CO1" s="61"/>
      <c r="CP1" s="61" t="s">
        <v>394</v>
      </c>
      <c r="CQ1" s="61"/>
      <c r="CR1" s="61" t="s">
        <v>368</v>
      </c>
      <c r="CS1" s="61"/>
      <c r="CT1" s="61" t="s">
        <v>369</v>
      </c>
      <c r="CU1" s="61"/>
      <c r="CV1" s="61" t="s">
        <v>395</v>
      </c>
      <c r="CW1" s="61" t="s">
        <v>396</v>
      </c>
      <c r="CX1" s="61" t="s">
        <v>397</v>
      </c>
      <c r="CY1" s="61" t="s">
        <v>398</v>
      </c>
      <c r="CZ1" s="61"/>
      <c r="DA1" s="61" t="s">
        <v>370</v>
      </c>
      <c r="DB1" s="61" t="s">
        <v>399</v>
      </c>
      <c r="DC1" s="61" t="s">
        <v>400</v>
      </c>
      <c r="DD1" s="61" t="s">
        <v>371</v>
      </c>
      <c r="DE1" s="61" t="s">
        <v>401</v>
      </c>
      <c r="DF1" s="61" t="s">
        <v>402</v>
      </c>
      <c r="DG1" s="61" t="s">
        <v>403</v>
      </c>
      <c r="DH1" s="61" t="s">
        <v>404</v>
      </c>
      <c r="DI1" s="61" t="s">
        <v>405</v>
      </c>
      <c r="DJ1" s="61" t="s">
        <v>406</v>
      </c>
      <c r="DK1" s="61" t="s">
        <v>407</v>
      </c>
      <c r="DL1" s="61" t="s">
        <v>408</v>
      </c>
      <c r="DM1" s="61" t="s">
        <v>409</v>
      </c>
      <c r="DN1" s="61" t="s">
        <v>410</v>
      </c>
      <c r="DO1" s="61" t="s">
        <v>411</v>
      </c>
      <c r="DP1" s="61" t="s">
        <v>412</v>
      </c>
      <c r="DQ1" s="61" t="s">
        <v>413</v>
      </c>
      <c r="DR1" s="61" t="s">
        <v>414</v>
      </c>
      <c r="DS1" s="61" t="s">
        <v>415</v>
      </c>
      <c r="DT1" s="61" t="s">
        <v>416</v>
      </c>
      <c r="DU1" s="61" t="s">
        <v>417</v>
      </c>
      <c r="DV1" s="61" t="s">
        <v>418</v>
      </c>
      <c r="DW1" s="61" t="s">
        <v>419</v>
      </c>
      <c r="DX1" s="61" t="s">
        <v>420</v>
      </c>
      <c r="DY1" s="61" t="s">
        <v>421</v>
      </c>
      <c r="DZ1" s="61" t="s">
        <v>422</v>
      </c>
      <c r="EA1" s="61" t="s">
        <v>423</v>
      </c>
      <c r="EB1" s="61" t="s">
        <v>372</v>
      </c>
      <c r="EC1" s="61" t="s">
        <v>424</v>
      </c>
      <c r="ED1" s="61" t="s">
        <v>373</v>
      </c>
      <c r="EE1" s="61" t="s">
        <v>425</v>
      </c>
      <c r="EF1" s="61" t="s">
        <v>426</v>
      </c>
      <c r="EG1" s="61" t="s">
        <v>427</v>
      </c>
      <c r="EH1" s="61" t="s">
        <v>428</v>
      </c>
      <c r="EI1" s="61" t="s">
        <v>429</v>
      </c>
      <c r="EJ1" s="61" t="s">
        <v>374</v>
      </c>
      <c r="EK1" s="61" t="s">
        <v>375</v>
      </c>
      <c r="EL1" s="62" t="s">
        <v>430</v>
      </c>
      <c r="EM1" s="62" t="s">
        <v>431</v>
      </c>
      <c r="EN1" s="62" t="s">
        <v>432</v>
      </c>
      <c r="EO1" s="62" t="s">
        <v>433</v>
      </c>
      <c r="EP1" s="62" t="s">
        <v>434</v>
      </c>
      <c r="EQ1" s="62" t="s">
        <v>435</v>
      </c>
      <c r="ER1" s="62" t="s">
        <v>436</v>
      </c>
      <c r="ES1" s="62" t="s">
        <v>437</v>
      </c>
      <c r="ET1" s="62"/>
      <c r="EU1" s="62" t="s">
        <v>438</v>
      </c>
      <c r="EV1" s="62" t="s">
        <v>439</v>
      </c>
      <c r="EW1" s="62" t="s">
        <v>440</v>
      </c>
      <c r="EX1" s="62" t="s">
        <v>441</v>
      </c>
      <c r="EY1" s="62" t="s">
        <v>442</v>
      </c>
      <c r="EZ1" s="62" t="s">
        <v>443</v>
      </c>
      <c r="FA1" s="62" t="s">
        <v>444</v>
      </c>
      <c r="FB1" s="62" t="s">
        <v>445</v>
      </c>
      <c r="FC1" s="62" t="s">
        <v>446</v>
      </c>
      <c r="FD1" s="62" t="s">
        <v>447</v>
      </c>
      <c r="FE1" s="62" t="s">
        <v>448</v>
      </c>
      <c r="FF1" s="62" t="s">
        <v>449</v>
      </c>
      <c r="FG1" s="62" t="s">
        <v>450</v>
      </c>
      <c r="FH1" s="62" t="s">
        <v>451</v>
      </c>
      <c r="FI1" s="62" t="s">
        <v>452</v>
      </c>
      <c r="FJ1" s="62" t="s">
        <v>185</v>
      </c>
      <c r="FK1" s="62" t="s">
        <v>186</v>
      </c>
      <c r="FL1" s="62" t="s">
        <v>453</v>
      </c>
      <c r="FM1" s="62"/>
      <c r="FN1" s="62" t="s">
        <v>454</v>
      </c>
      <c r="FO1" s="62" t="s">
        <v>455</v>
      </c>
      <c r="FP1" s="62" t="s">
        <v>187</v>
      </c>
      <c r="FQ1" s="62" t="s">
        <v>188</v>
      </c>
      <c r="FR1" s="62" t="s">
        <v>189</v>
      </c>
      <c r="FS1" s="62" t="s">
        <v>190</v>
      </c>
      <c r="FT1" s="62" t="s">
        <v>191</v>
      </c>
      <c r="FU1" s="62" t="s">
        <v>192</v>
      </c>
      <c r="FV1" s="48"/>
    </row>
    <row r="2" spans="1:178" x14ac:dyDescent="0.3">
      <c r="A2" s="59" t="s">
        <v>160</v>
      </c>
      <c r="C2" s="45" t="str">
        <f>IF(B2="Y",B1,"")</f>
        <v/>
      </c>
      <c r="E2" s="45" t="str">
        <f>IF(D2="Y",D1,"")</f>
        <v/>
      </c>
      <c r="G2" s="45" t="str">
        <f>IF(F2="Y",F1,"")</f>
        <v/>
      </c>
      <c r="H2" s="45" t="s">
        <v>156</v>
      </c>
      <c r="I2" s="45" t="str">
        <f>IF(H2="Y",$H$1,"")</f>
        <v>G-900</v>
      </c>
      <c r="J2" s="45" t="s">
        <v>156</v>
      </c>
      <c r="K2" s="45" t="str">
        <f>IF(J2="Y",$J$1,"")</f>
        <v>G-1800</v>
      </c>
      <c r="M2" s="45" t="str">
        <f>IF(L2="Y",L1,"")</f>
        <v/>
      </c>
      <c r="O2" s="45" t="str">
        <f>IF(N2="Y",N1,"")</f>
        <v/>
      </c>
      <c r="P2" s="45" t="s">
        <v>156</v>
      </c>
      <c r="Q2" s="45" t="str">
        <f>IF(P2="Y",$P$1,"")</f>
        <v>W-1 (2100)</v>
      </c>
      <c r="S2" s="45" t="str">
        <f>IF(R2="Y",R1,"")</f>
        <v/>
      </c>
      <c r="U2" s="45" t="str">
        <f>IF(T2="Y",T1,"")</f>
        <v/>
      </c>
      <c r="W2" s="45" t="str">
        <f>IF(V2="Y",V1,"")</f>
        <v/>
      </c>
      <c r="Y2" s="45" t="str">
        <f>IF(X2="Y",X1,"")</f>
        <v/>
      </c>
      <c r="AA2" s="45" t="str">
        <f>IF(Z2="Y",Z1,"")</f>
        <v/>
      </c>
      <c r="AC2" s="45" t="str">
        <f>IF(AB2="Y",AB1,"")</f>
        <v/>
      </c>
      <c r="AD2" s="45" t="s">
        <v>156</v>
      </c>
      <c r="AE2" s="45" t="str">
        <f>IF(AD2="Y",$AD$1,"")</f>
        <v>W-8 (900)</v>
      </c>
      <c r="AG2" s="45" t="str">
        <f>IF(AF2="Y",AF1,"")</f>
        <v/>
      </c>
      <c r="AI2" s="45" t="str">
        <f>IF(AH2="Y",AH1,"")</f>
        <v/>
      </c>
      <c r="AK2" s="45" t="str">
        <f>IF(AJ2="Y",AJ1,"")</f>
        <v/>
      </c>
      <c r="AM2" s="45" t="str">
        <f>IF(AL2="Y",AL1,"")</f>
        <v/>
      </c>
      <c r="AO2" s="45" t="str">
        <f>IF(AN2="Y",AN1,"")</f>
        <v/>
      </c>
      <c r="AQ2" s="45" t="str">
        <f>IF(AP2="Y",AP1,"")</f>
        <v/>
      </c>
      <c r="AS2" s="45" t="str">
        <f>IF(AR2="Y",AR1,"")</f>
        <v/>
      </c>
      <c r="AU2" s="45" t="str">
        <f>IF(AT2="Y",AT1,"")</f>
        <v/>
      </c>
      <c r="AW2" s="45" t="str">
        <f>IF(AV2="Y",AV1,"")</f>
        <v/>
      </c>
      <c r="AY2" s="45" t="str">
        <f>IF(AX2="Y",AX1,"")</f>
        <v/>
      </c>
      <c r="BA2" s="45" t="str">
        <f>IF(AZ2="Y",AZ1,"")</f>
        <v/>
      </c>
      <c r="BC2" s="45" t="str">
        <f>IF(BB2="Y",BB1,"")</f>
        <v/>
      </c>
      <c r="BE2" s="45" t="str">
        <f>IF(BD2="Y",BD1,"")</f>
        <v/>
      </c>
      <c r="BG2" s="45" t="str">
        <f>IF(BF2="Y",BF1,"")</f>
        <v/>
      </c>
      <c r="BI2" s="45" t="str">
        <f>IF(BH2="Y",BH1,"")</f>
        <v/>
      </c>
      <c r="BJ2" s="45" t="s">
        <v>156</v>
      </c>
      <c r="BK2" s="45" t="str">
        <f>IF(BJ2="Y",BJ1,"")</f>
        <v>L-3 (1800)</v>
      </c>
      <c r="BM2" s="45" t="str">
        <f>IF(BL2="Y",BL1,"")</f>
        <v/>
      </c>
      <c r="BO2" s="45" t="str">
        <f>IF(BN2="Y",BN1,"")</f>
        <v/>
      </c>
      <c r="BP2" s="45" t="s">
        <v>156</v>
      </c>
      <c r="BQ2" s="45" t="str">
        <f>IF(BP2="Y",BP1,"")</f>
        <v>L-7 (2600)</v>
      </c>
      <c r="BS2" s="45" t="str">
        <f>IF(BR2="Y",BR1,"")</f>
        <v/>
      </c>
      <c r="BU2" s="45" t="str">
        <f>IF(BT2="Y",BT1,"")</f>
        <v/>
      </c>
      <c r="BW2" s="45" t="str">
        <f>IF(BV2="Y",BV1,"")</f>
        <v/>
      </c>
      <c r="BY2" s="45" t="str">
        <f>IF(BX2="Y",BX1,"")</f>
        <v/>
      </c>
      <c r="CA2" s="45" t="str">
        <f>IF(BZ2="Y",BZ1,"")</f>
        <v/>
      </c>
      <c r="CJ2" s="45" t="s">
        <v>156</v>
      </c>
      <c r="EO2"/>
      <c r="EP2"/>
      <c r="EQ2"/>
      <c r="ER2"/>
      <c r="ES2" s="1" t="s">
        <v>156</v>
      </c>
      <c r="ET2" s="1" t="str">
        <f>IF(ES2="Y",ES1,"")</f>
        <v>NR-n12(700)</v>
      </c>
      <c r="EU2"/>
      <c r="EV2"/>
      <c r="EW2"/>
      <c r="EX2"/>
      <c r="EY2"/>
      <c r="FL2" s="1" t="s">
        <v>156</v>
      </c>
      <c r="FM2" s="1" t="str">
        <f>IF(FL2="Y",FL1,"")</f>
        <v>NR-n77(3700)</v>
      </c>
      <c r="FV2" t="str">
        <f>CONCATENATE(I2,",",K2,",",Q2,",",AE2,",",BK2,",",BQ2,",",ET2,",",FM2)</f>
        <v>G-900,G-1800,W-1 (2100),W-8 (900),L-3 (1800),L-7 (2600),NR-n12(700),NR-n77(3700)</v>
      </c>
    </row>
    <row r="3" spans="1:178" x14ac:dyDescent="0.3">
      <c r="A3" s="59" t="s">
        <v>161</v>
      </c>
      <c r="H3" s="45" t="s">
        <v>156</v>
      </c>
      <c r="I3" s="45" t="str">
        <f t="shared" ref="I3:I15" si="0">IF(H3="Y",$H$1,"")</f>
        <v>G-900</v>
      </c>
      <c r="J3" s="45" t="s">
        <v>156</v>
      </c>
      <c r="K3" s="45" t="str">
        <f t="shared" ref="K3:K15" si="1">IF(J3="Y",$J$1,"")</f>
        <v>G-1800</v>
      </c>
      <c r="P3" s="45" t="s">
        <v>156</v>
      </c>
      <c r="Q3" s="45" t="str">
        <f t="shared" ref="Q3:Q15" si="2">IF(P3="Y",$P$1,"")</f>
        <v>W-1 (2100)</v>
      </c>
      <c r="AE3" s="45" t="str">
        <f t="shared" ref="AE3:AE15" si="3">IF(AD3="Y",$AD$1,"")</f>
        <v/>
      </c>
      <c r="BJ3" s="45" t="s">
        <v>156</v>
      </c>
      <c r="BP3" s="45" t="s">
        <v>156</v>
      </c>
      <c r="CJ3" s="45" t="s">
        <v>156</v>
      </c>
      <c r="EO3"/>
      <c r="EP3"/>
      <c r="EQ3"/>
      <c r="ER3"/>
      <c r="EU3"/>
      <c r="EV3"/>
      <c r="EW3"/>
      <c r="EX3"/>
      <c r="EY3"/>
    </row>
    <row r="4" spans="1:178" x14ac:dyDescent="0.3">
      <c r="A4" s="59" t="s">
        <v>162</v>
      </c>
      <c r="H4" s="45" t="s">
        <v>156</v>
      </c>
      <c r="I4" s="45" t="str">
        <f t="shared" si="0"/>
        <v>G-900</v>
      </c>
      <c r="J4" s="45" t="s">
        <v>156</v>
      </c>
      <c r="K4" s="45" t="str">
        <f t="shared" si="1"/>
        <v>G-1800</v>
      </c>
      <c r="P4" s="45" t="s">
        <v>156</v>
      </c>
      <c r="Q4" s="45" t="str">
        <f t="shared" si="2"/>
        <v>W-1 (2100)</v>
      </c>
      <c r="AD4" s="45" t="s">
        <v>156</v>
      </c>
      <c r="AE4" s="45" t="str">
        <f t="shared" si="3"/>
        <v>W-8 (900)</v>
      </c>
      <c r="BJ4" s="45" t="s">
        <v>156</v>
      </c>
      <c r="CJ4" s="45" t="s">
        <v>156</v>
      </c>
      <c r="EO4"/>
      <c r="EP4"/>
      <c r="EQ4"/>
      <c r="ER4"/>
      <c r="EU4"/>
      <c r="EV4"/>
      <c r="EW4"/>
      <c r="EX4"/>
      <c r="EY4"/>
    </row>
    <row r="5" spans="1:178" x14ac:dyDescent="0.3">
      <c r="A5" s="59" t="s">
        <v>163</v>
      </c>
      <c r="H5" s="45" t="s">
        <v>156</v>
      </c>
      <c r="I5" s="45" t="str">
        <f t="shared" si="0"/>
        <v>G-900</v>
      </c>
      <c r="J5" s="45" t="s">
        <v>156</v>
      </c>
      <c r="K5" s="45" t="str">
        <f t="shared" si="1"/>
        <v>G-1800</v>
      </c>
      <c r="P5" s="45" t="s">
        <v>156</v>
      </c>
      <c r="Q5" s="45" t="str">
        <f t="shared" si="2"/>
        <v>W-1 (2100)</v>
      </c>
      <c r="AD5" s="45" t="s">
        <v>156</v>
      </c>
      <c r="AE5" s="45" t="str">
        <f t="shared" si="3"/>
        <v>W-8 (900)</v>
      </c>
      <c r="BF5" s="45" t="s">
        <v>156</v>
      </c>
      <c r="BJ5" s="45" t="s">
        <v>156</v>
      </c>
      <c r="BP5" s="45" t="s">
        <v>156</v>
      </c>
      <c r="CJ5" s="45" t="s">
        <v>156</v>
      </c>
      <c r="CY5" s="45" t="s">
        <v>156</v>
      </c>
      <c r="EO5"/>
      <c r="EP5"/>
      <c r="EQ5"/>
      <c r="ER5"/>
      <c r="EU5"/>
      <c r="EV5"/>
      <c r="EW5"/>
      <c r="EX5"/>
      <c r="EY5"/>
    </row>
    <row r="6" spans="1:178" x14ac:dyDescent="0.3">
      <c r="A6" s="59" t="s">
        <v>164</v>
      </c>
      <c r="H6" s="45" t="s">
        <v>156</v>
      </c>
      <c r="I6" s="45" t="str">
        <f t="shared" si="0"/>
        <v>G-900</v>
      </c>
      <c r="J6" s="45" t="s">
        <v>156</v>
      </c>
      <c r="K6" s="45" t="str">
        <f t="shared" si="1"/>
        <v>G-1800</v>
      </c>
      <c r="P6" s="45" t="s">
        <v>156</v>
      </c>
      <c r="Q6" s="45" t="str">
        <f t="shared" si="2"/>
        <v>W-1 (2100)</v>
      </c>
      <c r="AD6" s="45" t="s">
        <v>156</v>
      </c>
      <c r="AE6" s="45" t="str">
        <f t="shared" si="3"/>
        <v>W-8 (900)</v>
      </c>
      <c r="BJ6" s="45" t="s">
        <v>156</v>
      </c>
      <c r="CJ6" s="45" t="s">
        <v>156</v>
      </c>
      <c r="EO6"/>
      <c r="EP6"/>
      <c r="EQ6"/>
      <c r="ER6"/>
      <c r="EU6"/>
      <c r="EV6"/>
      <c r="EW6"/>
      <c r="EX6"/>
      <c r="EY6"/>
    </row>
    <row r="7" spans="1:178" x14ac:dyDescent="0.3">
      <c r="A7" s="59" t="s">
        <v>165</v>
      </c>
      <c r="H7" s="45" t="s">
        <v>156</v>
      </c>
      <c r="I7" s="45" t="str">
        <f t="shared" si="0"/>
        <v>G-900</v>
      </c>
      <c r="J7" s="45" t="s">
        <v>156</v>
      </c>
      <c r="K7" s="45" t="str">
        <f t="shared" si="1"/>
        <v>G-1800</v>
      </c>
      <c r="P7" s="45" t="s">
        <v>156</v>
      </c>
      <c r="Q7" s="45" t="str">
        <f t="shared" si="2"/>
        <v>W-1 (2100)</v>
      </c>
      <c r="AD7" s="45" t="s">
        <v>156</v>
      </c>
      <c r="AE7" s="45" t="str">
        <f t="shared" si="3"/>
        <v>W-8 (900)</v>
      </c>
      <c r="BF7" s="45" t="s">
        <v>156</v>
      </c>
      <c r="BJ7" s="45" t="s">
        <v>156</v>
      </c>
      <c r="BP7" s="45" t="s">
        <v>156</v>
      </c>
      <c r="CJ7" s="45" t="s">
        <v>156</v>
      </c>
      <c r="EO7"/>
      <c r="EP7"/>
      <c r="EQ7"/>
      <c r="ER7"/>
      <c r="EU7"/>
      <c r="EV7"/>
      <c r="EW7"/>
      <c r="EX7"/>
      <c r="EY7"/>
    </row>
    <row r="8" spans="1:178" x14ac:dyDescent="0.3">
      <c r="A8" s="59" t="s">
        <v>166</v>
      </c>
      <c r="H8" s="45" t="s">
        <v>156</v>
      </c>
      <c r="I8" s="45" t="str">
        <f t="shared" si="0"/>
        <v>G-900</v>
      </c>
      <c r="J8" s="45" t="s">
        <v>156</v>
      </c>
      <c r="K8" s="45" t="str">
        <f t="shared" si="1"/>
        <v>G-1800</v>
      </c>
      <c r="P8" s="45" t="s">
        <v>156</v>
      </c>
      <c r="Q8" s="45" t="str">
        <f t="shared" si="2"/>
        <v>W-1 (2100)</v>
      </c>
      <c r="AD8" s="45" t="s">
        <v>156</v>
      </c>
      <c r="AE8" s="45" t="str">
        <f t="shared" si="3"/>
        <v>W-8 (900)</v>
      </c>
      <c r="BF8" s="45" t="s">
        <v>156</v>
      </c>
      <c r="BJ8" s="45" t="s">
        <v>156</v>
      </c>
      <c r="CJ8" s="45" t="s">
        <v>156</v>
      </c>
      <c r="CY8" s="45" t="s">
        <v>156</v>
      </c>
      <c r="EO8"/>
      <c r="EP8"/>
      <c r="EQ8"/>
      <c r="ER8"/>
      <c r="EU8"/>
      <c r="EV8"/>
      <c r="EW8"/>
      <c r="EX8"/>
      <c r="EY8"/>
    </row>
    <row r="9" spans="1:178" x14ac:dyDescent="0.3">
      <c r="A9" s="59" t="s">
        <v>167</v>
      </c>
      <c r="H9" s="45" t="s">
        <v>156</v>
      </c>
      <c r="I9" s="45" t="str">
        <f t="shared" si="0"/>
        <v>G-900</v>
      </c>
      <c r="J9" s="45" t="s">
        <v>156</v>
      </c>
      <c r="K9" s="45" t="str">
        <f t="shared" si="1"/>
        <v>G-1800</v>
      </c>
      <c r="P9" s="45" t="s">
        <v>156</v>
      </c>
      <c r="Q9" s="45" t="str">
        <f t="shared" si="2"/>
        <v>W-1 (2100)</v>
      </c>
      <c r="AD9" s="45" t="s">
        <v>156</v>
      </c>
      <c r="AE9" s="45" t="str">
        <f t="shared" si="3"/>
        <v>W-8 (900)</v>
      </c>
      <c r="BJ9" s="45" t="s">
        <v>156</v>
      </c>
      <c r="BP9" s="45" t="s">
        <v>156</v>
      </c>
      <c r="EO9"/>
      <c r="EP9"/>
      <c r="EQ9"/>
      <c r="ER9"/>
      <c r="EU9"/>
      <c r="EV9"/>
      <c r="EW9"/>
      <c r="EX9"/>
      <c r="EY9"/>
    </row>
    <row r="10" spans="1:178" x14ac:dyDescent="0.3">
      <c r="A10" s="59" t="s">
        <v>168</v>
      </c>
      <c r="H10" s="45" t="s">
        <v>156</v>
      </c>
      <c r="I10" s="45" t="str">
        <f t="shared" si="0"/>
        <v>G-900</v>
      </c>
      <c r="J10" s="45" t="s">
        <v>156</v>
      </c>
      <c r="K10" s="45" t="str">
        <f t="shared" si="1"/>
        <v>G-1800</v>
      </c>
      <c r="P10" s="45" t="s">
        <v>156</v>
      </c>
      <c r="Q10" s="45" t="str">
        <f t="shared" si="2"/>
        <v>W-1 (2100)</v>
      </c>
      <c r="AD10" s="45" t="s">
        <v>156</v>
      </c>
      <c r="AE10" s="45" t="str">
        <f t="shared" si="3"/>
        <v>W-8 (900)</v>
      </c>
      <c r="BJ10" s="45" t="s">
        <v>156</v>
      </c>
      <c r="BP10" s="45" t="s">
        <v>156</v>
      </c>
      <c r="CJ10" s="45" t="s">
        <v>156</v>
      </c>
      <c r="EO10"/>
      <c r="EP10"/>
      <c r="EQ10"/>
      <c r="ER10"/>
      <c r="EU10"/>
      <c r="EV10"/>
      <c r="EW10"/>
      <c r="EX10"/>
      <c r="EY10"/>
    </row>
    <row r="11" spans="1:178" x14ac:dyDescent="0.3">
      <c r="A11" s="59" t="s">
        <v>169</v>
      </c>
      <c r="H11" s="45" t="s">
        <v>156</v>
      </c>
      <c r="I11" s="45" t="str">
        <f t="shared" si="0"/>
        <v>G-900</v>
      </c>
      <c r="J11" s="45" t="s">
        <v>156</v>
      </c>
      <c r="K11" s="45" t="str">
        <f t="shared" si="1"/>
        <v>G-1800</v>
      </c>
      <c r="P11" s="45" t="s">
        <v>156</v>
      </c>
      <c r="Q11" s="45" t="str">
        <f t="shared" si="2"/>
        <v>W-1 (2100)</v>
      </c>
      <c r="AE11" s="45" t="str">
        <f t="shared" si="3"/>
        <v/>
      </c>
      <c r="BF11" s="45" t="s">
        <v>156</v>
      </c>
      <c r="BJ11" s="45" t="s">
        <v>156</v>
      </c>
      <c r="CJ11" s="45" t="s">
        <v>156</v>
      </c>
      <c r="EO11"/>
      <c r="EP11"/>
      <c r="EQ11"/>
      <c r="ER11"/>
      <c r="EU11"/>
      <c r="EV11"/>
      <c r="EW11"/>
      <c r="EX11"/>
      <c r="EY11"/>
    </row>
    <row r="12" spans="1:178" x14ac:dyDescent="0.3">
      <c r="A12" s="59" t="s">
        <v>170</v>
      </c>
      <c r="H12" s="45" t="s">
        <v>156</v>
      </c>
      <c r="I12" s="45" t="str">
        <f t="shared" si="0"/>
        <v>G-900</v>
      </c>
      <c r="J12" s="45" t="s">
        <v>156</v>
      </c>
      <c r="K12" s="45" t="str">
        <f t="shared" si="1"/>
        <v>G-1800</v>
      </c>
      <c r="P12" s="45" t="s">
        <v>156</v>
      </c>
      <c r="Q12" s="45" t="str">
        <f t="shared" si="2"/>
        <v>W-1 (2100)</v>
      </c>
      <c r="AD12" s="45" t="s">
        <v>156</v>
      </c>
      <c r="AE12" s="45" t="str">
        <f t="shared" si="3"/>
        <v>W-8 (900)</v>
      </c>
      <c r="BJ12" s="45" t="s">
        <v>156</v>
      </c>
      <c r="BP12" s="45" t="s">
        <v>156</v>
      </c>
      <c r="CJ12" s="45" t="s">
        <v>156</v>
      </c>
      <c r="EO12"/>
      <c r="EP12"/>
      <c r="EQ12"/>
      <c r="ER12"/>
      <c r="EU12"/>
      <c r="EV12"/>
      <c r="EW12"/>
      <c r="EX12"/>
      <c r="EY12"/>
    </row>
    <row r="13" spans="1:178" x14ac:dyDescent="0.3">
      <c r="A13" s="59" t="s">
        <v>171</v>
      </c>
      <c r="H13" s="45" t="s">
        <v>156</v>
      </c>
      <c r="I13" s="45" t="str">
        <f t="shared" si="0"/>
        <v>G-900</v>
      </c>
      <c r="J13" s="45" t="s">
        <v>156</v>
      </c>
      <c r="K13" s="45" t="str">
        <f t="shared" si="1"/>
        <v>G-1800</v>
      </c>
      <c r="P13" s="45" t="s">
        <v>156</v>
      </c>
      <c r="Q13" s="45" t="str">
        <f t="shared" si="2"/>
        <v>W-1 (2100)</v>
      </c>
      <c r="AD13" s="45" t="s">
        <v>156</v>
      </c>
      <c r="AE13" s="45" t="str">
        <f t="shared" si="3"/>
        <v>W-8 (900)</v>
      </c>
      <c r="BJ13" s="45" t="s">
        <v>156</v>
      </c>
      <c r="BP13" s="45" t="s">
        <v>156</v>
      </c>
      <c r="BR13" s="45" t="s">
        <v>156</v>
      </c>
      <c r="CJ13" s="45" t="s">
        <v>156</v>
      </c>
      <c r="EO13"/>
      <c r="EP13"/>
      <c r="EQ13"/>
      <c r="ER13"/>
      <c r="EU13"/>
      <c r="EV13"/>
      <c r="EW13"/>
      <c r="EX13"/>
      <c r="EY13"/>
    </row>
    <row r="14" spans="1:178" x14ac:dyDescent="0.3">
      <c r="A14" s="59" t="s">
        <v>173</v>
      </c>
      <c r="H14" s="45" t="s">
        <v>156</v>
      </c>
      <c r="I14" s="45" t="str">
        <f t="shared" si="0"/>
        <v>G-900</v>
      </c>
      <c r="J14" s="45" t="s">
        <v>156</v>
      </c>
      <c r="K14" s="45" t="str">
        <f t="shared" si="1"/>
        <v>G-1800</v>
      </c>
      <c r="P14" s="45" t="s">
        <v>156</v>
      </c>
      <c r="Q14" s="45" t="str">
        <f t="shared" si="2"/>
        <v>W-1 (2100)</v>
      </c>
      <c r="AD14" s="45" t="s">
        <v>156</v>
      </c>
      <c r="AE14" s="45" t="str">
        <f t="shared" si="3"/>
        <v>W-8 (900)</v>
      </c>
      <c r="BJ14" s="45" t="s">
        <v>156</v>
      </c>
      <c r="BP14" s="45" t="s">
        <v>156</v>
      </c>
      <c r="CJ14" s="45" t="s">
        <v>156</v>
      </c>
      <c r="EO14"/>
      <c r="EP14"/>
      <c r="EQ14"/>
      <c r="ER14"/>
      <c r="EU14"/>
      <c r="EV14"/>
      <c r="EW14"/>
      <c r="EX14"/>
      <c r="EY14"/>
    </row>
    <row r="15" spans="1:178" x14ac:dyDescent="0.3">
      <c r="A15" s="59" t="s">
        <v>172</v>
      </c>
      <c r="H15" s="45" t="s">
        <v>156</v>
      </c>
      <c r="I15" s="45" t="str">
        <f t="shared" si="0"/>
        <v>G-900</v>
      </c>
      <c r="J15" s="45" t="s">
        <v>156</v>
      </c>
      <c r="K15" s="45" t="str">
        <f t="shared" si="1"/>
        <v>G-1800</v>
      </c>
      <c r="P15" s="45" t="s">
        <v>156</v>
      </c>
      <c r="Q15" s="45" t="str">
        <f t="shared" si="2"/>
        <v>W-1 (2100)</v>
      </c>
      <c r="AE15" s="45" t="str">
        <f t="shared" si="3"/>
        <v/>
      </c>
      <c r="BJ15" s="45" t="s">
        <v>156</v>
      </c>
      <c r="BP15" s="45" t="s">
        <v>156</v>
      </c>
      <c r="CJ15" s="45" t="s">
        <v>156</v>
      </c>
      <c r="EO15"/>
      <c r="EP15"/>
      <c r="EQ15"/>
      <c r="ER15"/>
      <c r="EU15"/>
      <c r="EV15"/>
      <c r="EW15"/>
      <c r="EX15"/>
      <c r="EY15"/>
    </row>
    <row r="16" spans="1:178" ht="23.25" x14ac:dyDescent="0.25">
      <c r="A16" s="60" t="s">
        <v>176</v>
      </c>
      <c r="B16" s="54" t="s">
        <v>176</v>
      </c>
      <c r="C16" s="54"/>
      <c r="D16" s="54" t="s">
        <v>176</v>
      </c>
      <c r="E16" s="54"/>
      <c r="F16" s="54" t="s">
        <v>176</v>
      </c>
      <c r="G16" s="54"/>
      <c r="H16" s="54" t="s">
        <v>176</v>
      </c>
      <c r="I16" s="54"/>
      <c r="J16" s="54" t="s">
        <v>176</v>
      </c>
      <c r="K16" s="54"/>
      <c r="L16" s="54" t="s">
        <v>176</v>
      </c>
      <c r="M16" s="54"/>
      <c r="N16" s="54" t="s">
        <v>176</v>
      </c>
      <c r="O16" s="54"/>
      <c r="P16" s="54" t="s">
        <v>176</v>
      </c>
      <c r="Q16" s="54"/>
      <c r="R16" s="54" t="s">
        <v>176</v>
      </c>
      <c r="S16" s="54"/>
      <c r="T16" s="54" t="s">
        <v>176</v>
      </c>
      <c r="U16" s="54"/>
      <c r="V16" s="54" t="s">
        <v>176</v>
      </c>
      <c r="W16" s="54"/>
      <c r="X16" s="54" t="s">
        <v>176</v>
      </c>
      <c r="Y16" s="54"/>
      <c r="Z16" s="54" t="s">
        <v>176</v>
      </c>
      <c r="AA16" s="54"/>
      <c r="AB16" s="54" t="s">
        <v>176</v>
      </c>
      <c r="AC16" s="54"/>
      <c r="AD16" s="54" t="s">
        <v>176</v>
      </c>
      <c r="AE16" s="54"/>
      <c r="AF16" s="54" t="s">
        <v>176</v>
      </c>
      <c r="AG16" s="54"/>
      <c r="AH16" s="54" t="s">
        <v>176</v>
      </c>
      <c r="AI16" s="54"/>
      <c r="AJ16" s="54" t="s">
        <v>176</v>
      </c>
      <c r="AK16" s="54"/>
      <c r="AL16" s="54" t="s">
        <v>176</v>
      </c>
      <c r="AM16" s="54"/>
      <c r="AN16" s="54" t="s">
        <v>176</v>
      </c>
      <c r="AO16" s="54"/>
      <c r="AP16" s="54" t="s">
        <v>176</v>
      </c>
      <c r="AQ16" s="54"/>
      <c r="AR16" s="54" t="s">
        <v>176</v>
      </c>
      <c r="AS16" s="54"/>
      <c r="AT16" s="54" t="s">
        <v>176</v>
      </c>
      <c r="AU16" s="54"/>
      <c r="AV16" s="54" t="s">
        <v>176</v>
      </c>
      <c r="AW16" s="54"/>
      <c r="AX16" s="54" t="s">
        <v>176</v>
      </c>
      <c r="AY16" s="54"/>
      <c r="AZ16" s="54" t="s">
        <v>176</v>
      </c>
      <c r="BA16" s="54"/>
      <c r="BB16" s="54" t="s">
        <v>176</v>
      </c>
      <c r="BC16" s="54"/>
      <c r="BD16" s="54" t="s">
        <v>176</v>
      </c>
      <c r="BE16" s="54"/>
      <c r="BF16" s="54" t="s">
        <v>176</v>
      </c>
      <c r="BG16" s="54"/>
      <c r="BH16" s="54" t="s">
        <v>176</v>
      </c>
      <c r="BI16" s="54"/>
      <c r="BJ16" s="54" t="s">
        <v>176</v>
      </c>
      <c r="BK16" s="54"/>
      <c r="BL16" s="54" t="s">
        <v>176</v>
      </c>
      <c r="BM16" s="54"/>
      <c r="BN16" s="54" t="s">
        <v>176</v>
      </c>
      <c r="BO16" s="54"/>
      <c r="BP16" s="54" t="s">
        <v>176</v>
      </c>
      <c r="BQ16" s="54"/>
      <c r="BR16" s="54" t="s">
        <v>176</v>
      </c>
      <c r="BS16" s="54"/>
      <c r="BT16" s="54" t="s">
        <v>176</v>
      </c>
      <c r="BU16" s="54"/>
      <c r="BV16" s="54" t="s">
        <v>176</v>
      </c>
      <c r="BW16" s="54"/>
      <c r="BX16" s="54" t="s">
        <v>176</v>
      </c>
      <c r="BY16" s="54"/>
      <c r="BZ16" s="54" t="s">
        <v>176</v>
      </c>
      <c r="CA16" s="54"/>
      <c r="CB16" s="54" t="s">
        <v>176</v>
      </c>
      <c r="CC16" s="54"/>
      <c r="CD16" s="54" t="s">
        <v>176</v>
      </c>
      <c r="CE16" s="54"/>
      <c r="CF16" s="54" t="s">
        <v>176</v>
      </c>
      <c r="CG16" s="54"/>
      <c r="CH16" s="54" t="s">
        <v>176</v>
      </c>
      <c r="CI16" s="54"/>
      <c r="CJ16" s="54" t="s">
        <v>176</v>
      </c>
      <c r="CK16" s="54"/>
      <c r="CL16" s="54" t="s">
        <v>176</v>
      </c>
      <c r="CM16" s="54"/>
      <c r="CN16" s="54" t="s">
        <v>176</v>
      </c>
      <c r="CO16" s="54"/>
      <c r="CP16" s="54" t="s">
        <v>176</v>
      </c>
      <c r="CQ16" s="54"/>
      <c r="CR16" s="54" t="s">
        <v>176</v>
      </c>
      <c r="CS16" s="54"/>
      <c r="CT16" s="54" t="s">
        <v>176</v>
      </c>
      <c r="CU16" s="54"/>
      <c r="CV16" s="54" t="s">
        <v>176</v>
      </c>
      <c r="CW16" s="54" t="s">
        <v>176</v>
      </c>
      <c r="CX16" s="54" t="s">
        <v>176</v>
      </c>
      <c r="CY16" s="54" t="s">
        <v>176</v>
      </c>
      <c r="CZ16" s="54"/>
      <c r="DA16" s="54" t="s">
        <v>176</v>
      </c>
      <c r="DB16" s="54" t="s">
        <v>176</v>
      </c>
      <c r="DC16" s="54" t="s">
        <v>176</v>
      </c>
      <c r="DD16" s="54" t="s">
        <v>176</v>
      </c>
      <c r="DE16" s="54" t="s">
        <v>176</v>
      </c>
      <c r="DF16" s="54" t="s">
        <v>176</v>
      </c>
      <c r="DG16" s="54" t="s">
        <v>176</v>
      </c>
      <c r="DH16" s="54" t="s">
        <v>176</v>
      </c>
      <c r="DI16" s="54" t="s">
        <v>176</v>
      </c>
      <c r="DJ16" s="54" t="s">
        <v>176</v>
      </c>
      <c r="DK16" s="54" t="s">
        <v>176</v>
      </c>
      <c r="DL16" s="54" t="s">
        <v>176</v>
      </c>
      <c r="DM16" s="54" t="s">
        <v>176</v>
      </c>
      <c r="DN16" s="54" t="s">
        <v>176</v>
      </c>
      <c r="DO16" s="54" t="s">
        <v>176</v>
      </c>
      <c r="DP16" s="54" t="s">
        <v>176</v>
      </c>
      <c r="DQ16" s="54" t="s">
        <v>176</v>
      </c>
      <c r="DR16" s="54" t="s">
        <v>176</v>
      </c>
      <c r="DS16" s="54" t="s">
        <v>176</v>
      </c>
      <c r="DT16" s="54" t="s">
        <v>176</v>
      </c>
      <c r="DU16" s="54" t="s">
        <v>176</v>
      </c>
      <c r="DV16" s="54" t="s">
        <v>176</v>
      </c>
      <c r="DW16" s="54" t="s">
        <v>176</v>
      </c>
      <c r="DX16" s="54" t="s">
        <v>176</v>
      </c>
      <c r="DY16" s="54" t="s">
        <v>176</v>
      </c>
      <c r="DZ16" s="54" t="s">
        <v>176</v>
      </c>
      <c r="EA16" s="54" t="s">
        <v>176</v>
      </c>
      <c r="EB16" s="54" t="s">
        <v>176</v>
      </c>
      <c r="EC16" s="54" t="s">
        <v>176</v>
      </c>
      <c r="ED16" s="54" t="s">
        <v>176</v>
      </c>
      <c r="EE16" s="54" t="s">
        <v>176</v>
      </c>
      <c r="EF16" s="54" t="s">
        <v>176</v>
      </c>
      <c r="EG16" s="54" t="s">
        <v>176</v>
      </c>
      <c r="EH16" s="54" t="s">
        <v>176</v>
      </c>
      <c r="EI16" s="54" t="s">
        <v>176</v>
      </c>
      <c r="EJ16" s="54" t="s">
        <v>176</v>
      </c>
      <c r="EK16" s="54" t="s">
        <v>176</v>
      </c>
      <c r="EL16" s="54" t="s">
        <v>176</v>
      </c>
      <c r="EM16" s="54" t="s">
        <v>176</v>
      </c>
      <c r="EN16" s="54" t="s">
        <v>176</v>
      </c>
      <c r="EO16" s="54" t="s">
        <v>176</v>
      </c>
      <c r="EP16" s="54" t="s">
        <v>176</v>
      </c>
      <c r="EQ16" s="54" t="s">
        <v>176</v>
      </c>
      <c r="ER16" s="54" t="s">
        <v>176</v>
      </c>
      <c r="ES16" s="54" t="s">
        <v>176</v>
      </c>
      <c r="ET16" s="54"/>
      <c r="EU16" s="54" t="s">
        <v>176</v>
      </c>
      <c r="EV16" s="54" t="s">
        <v>176</v>
      </c>
      <c r="EW16" s="54" t="s">
        <v>176</v>
      </c>
      <c r="EX16" s="54" t="s">
        <v>176</v>
      </c>
      <c r="EY16" s="54" t="s">
        <v>176</v>
      </c>
      <c r="EZ16" s="54" t="s">
        <v>176</v>
      </c>
      <c r="FA16" s="54" t="s">
        <v>176</v>
      </c>
      <c r="FB16" s="54" t="s">
        <v>176</v>
      </c>
      <c r="FC16" s="54" t="s">
        <v>176</v>
      </c>
      <c r="FD16" s="54" t="s">
        <v>176</v>
      </c>
      <c r="FE16" s="54" t="s">
        <v>176</v>
      </c>
      <c r="FF16" s="54" t="s">
        <v>176</v>
      </c>
      <c r="FG16" s="54" t="s">
        <v>176</v>
      </c>
      <c r="FH16" s="54" t="s">
        <v>176</v>
      </c>
      <c r="FI16" s="54" t="s">
        <v>176</v>
      </c>
      <c r="FJ16" s="54" t="s">
        <v>176</v>
      </c>
      <c r="FK16" s="54" t="s">
        <v>176</v>
      </c>
      <c r="FL16" s="54" t="s">
        <v>176</v>
      </c>
      <c r="FM16" s="54"/>
      <c r="FN16" s="54" t="s">
        <v>176</v>
      </c>
      <c r="FO16" s="54" t="s">
        <v>176</v>
      </c>
      <c r="FP16" s="54" t="s">
        <v>176</v>
      </c>
      <c r="FQ16" s="54" t="s">
        <v>176</v>
      </c>
      <c r="FR16" s="54" t="s">
        <v>176</v>
      </c>
      <c r="FS16" s="54" t="s">
        <v>176</v>
      </c>
      <c r="FT16" s="54" t="s">
        <v>176</v>
      </c>
      <c r="FU16" s="54" t="s">
        <v>176</v>
      </c>
    </row>
    <row r="17" spans="1:178" ht="23.25" x14ac:dyDescent="0.25">
      <c r="A17" s="60" t="s">
        <v>176</v>
      </c>
      <c r="B17" s="54" t="s">
        <v>176</v>
      </c>
      <c r="C17" s="54"/>
      <c r="D17" s="54" t="s">
        <v>176</v>
      </c>
      <c r="E17" s="54"/>
      <c r="F17" s="54" t="s">
        <v>176</v>
      </c>
      <c r="G17" s="54"/>
      <c r="H17" s="54" t="s">
        <v>176</v>
      </c>
      <c r="I17" s="54"/>
      <c r="J17" s="54" t="s">
        <v>176</v>
      </c>
      <c r="K17" s="54"/>
      <c r="L17" s="54" t="s">
        <v>176</v>
      </c>
      <c r="M17" s="54"/>
      <c r="N17" s="54" t="s">
        <v>176</v>
      </c>
      <c r="O17" s="54"/>
      <c r="P17" s="54" t="s">
        <v>176</v>
      </c>
      <c r="Q17" s="54"/>
      <c r="R17" s="54" t="s">
        <v>176</v>
      </c>
      <c r="S17" s="54"/>
      <c r="T17" s="54" t="s">
        <v>176</v>
      </c>
      <c r="U17" s="54"/>
      <c r="V17" s="54" t="s">
        <v>176</v>
      </c>
      <c r="W17" s="54"/>
      <c r="X17" s="54" t="s">
        <v>176</v>
      </c>
      <c r="Y17" s="54"/>
      <c r="Z17" s="54" t="s">
        <v>176</v>
      </c>
      <c r="AA17" s="54"/>
      <c r="AB17" s="54" t="s">
        <v>176</v>
      </c>
      <c r="AC17" s="54"/>
      <c r="AD17" s="54" t="s">
        <v>176</v>
      </c>
      <c r="AE17" s="54"/>
      <c r="AF17" s="54" t="s">
        <v>176</v>
      </c>
      <c r="AG17" s="54"/>
      <c r="AH17" s="54" t="s">
        <v>176</v>
      </c>
      <c r="AI17" s="54"/>
      <c r="AJ17" s="54" t="s">
        <v>176</v>
      </c>
      <c r="AK17" s="54"/>
      <c r="AL17" s="54" t="s">
        <v>176</v>
      </c>
      <c r="AM17" s="54"/>
      <c r="AN17" s="54" t="s">
        <v>176</v>
      </c>
      <c r="AO17" s="54"/>
      <c r="AP17" s="54" t="s">
        <v>176</v>
      </c>
      <c r="AQ17" s="54"/>
      <c r="AR17" s="54" t="s">
        <v>176</v>
      </c>
      <c r="AS17" s="54"/>
      <c r="AT17" s="54" t="s">
        <v>176</v>
      </c>
      <c r="AU17" s="54"/>
      <c r="AV17" s="54" t="s">
        <v>176</v>
      </c>
      <c r="AW17" s="54"/>
      <c r="AX17" s="54" t="s">
        <v>176</v>
      </c>
      <c r="AY17" s="54"/>
      <c r="AZ17" s="54" t="s">
        <v>176</v>
      </c>
      <c r="BA17" s="54"/>
      <c r="BB17" s="54" t="s">
        <v>176</v>
      </c>
      <c r="BC17" s="54"/>
      <c r="BD17" s="54" t="s">
        <v>176</v>
      </c>
      <c r="BE17" s="54"/>
      <c r="BF17" s="54" t="s">
        <v>176</v>
      </c>
      <c r="BG17" s="54"/>
      <c r="BH17" s="54" t="s">
        <v>176</v>
      </c>
      <c r="BI17" s="54"/>
      <c r="BJ17" s="54" t="s">
        <v>176</v>
      </c>
      <c r="BK17" s="54"/>
      <c r="BL17" s="54" t="s">
        <v>176</v>
      </c>
      <c r="BM17" s="54"/>
      <c r="BN17" s="54" t="s">
        <v>176</v>
      </c>
      <c r="BO17" s="54"/>
      <c r="BP17" s="54" t="s">
        <v>176</v>
      </c>
      <c r="BQ17" s="54"/>
      <c r="BR17" s="54" t="s">
        <v>176</v>
      </c>
      <c r="BS17" s="54"/>
      <c r="BT17" s="54" t="s">
        <v>176</v>
      </c>
      <c r="BU17" s="54"/>
      <c r="BV17" s="54" t="s">
        <v>176</v>
      </c>
      <c r="BW17" s="54"/>
      <c r="BX17" s="54" t="s">
        <v>176</v>
      </c>
      <c r="BY17" s="54"/>
      <c r="BZ17" s="54" t="s">
        <v>176</v>
      </c>
      <c r="CA17" s="54"/>
      <c r="CB17" s="54" t="s">
        <v>176</v>
      </c>
      <c r="CC17" s="54"/>
      <c r="CD17" s="54" t="s">
        <v>176</v>
      </c>
      <c r="CE17" s="54"/>
      <c r="CF17" s="54" t="s">
        <v>176</v>
      </c>
      <c r="CG17" s="54"/>
      <c r="CH17" s="54" t="s">
        <v>176</v>
      </c>
      <c r="CI17" s="54"/>
      <c r="CJ17" s="54" t="s">
        <v>176</v>
      </c>
      <c r="CK17" s="54"/>
      <c r="CL17" s="54" t="s">
        <v>176</v>
      </c>
      <c r="CM17" s="54"/>
      <c r="CN17" s="54" t="s">
        <v>176</v>
      </c>
      <c r="CO17" s="54"/>
      <c r="CP17" s="54" t="s">
        <v>176</v>
      </c>
      <c r="CQ17" s="54"/>
      <c r="CR17" s="54" t="s">
        <v>176</v>
      </c>
      <c r="CS17" s="54"/>
      <c r="CT17" s="54" t="s">
        <v>176</v>
      </c>
      <c r="CU17" s="54"/>
      <c r="CV17" s="54" t="s">
        <v>176</v>
      </c>
      <c r="CW17" s="54" t="s">
        <v>176</v>
      </c>
      <c r="CX17" s="54" t="s">
        <v>176</v>
      </c>
      <c r="CY17" s="54" t="s">
        <v>176</v>
      </c>
      <c r="CZ17" s="54"/>
      <c r="DA17" s="54" t="s">
        <v>176</v>
      </c>
      <c r="DB17" s="54" t="s">
        <v>176</v>
      </c>
      <c r="DC17" s="54" t="s">
        <v>176</v>
      </c>
      <c r="DD17" s="54" t="s">
        <v>176</v>
      </c>
      <c r="DE17" s="54" t="s">
        <v>176</v>
      </c>
      <c r="DF17" s="54" t="s">
        <v>176</v>
      </c>
      <c r="DG17" s="54" t="s">
        <v>176</v>
      </c>
      <c r="DH17" s="54" t="s">
        <v>176</v>
      </c>
      <c r="DI17" s="54" t="s">
        <v>176</v>
      </c>
      <c r="DJ17" s="54" t="s">
        <v>176</v>
      </c>
      <c r="DK17" s="54" t="s">
        <v>176</v>
      </c>
      <c r="DL17" s="54" t="s">
        <v>176</v>
      </c>
      <c r="DM17" s="54" t="s">
        <v>176</v>
      </c>
      <c r="DN17" s="54" t="s">
        <v>176</v>
      </c>
      <c r="DO17" s="54" t="s">
        <v>176</v>
      </c>
      <c r="DP17" s="54" t="s">
        <v>176</v>
      </c>
      <c r="DQ17" s="54" t="s">
        <v>176</v>
      </c>
      <c r="DR17" s="54" t="s">
        <v>176</v>
      </c>
      <c r="DS17" s="54" t="s">
        <v>176</v>
      </c>
      <c r="DT17" s="54" t="s">
        <v>176</v>
      </c>
      <c r="DU17" s="54" t="s">
        <v>176</v>
      </c>
      <c r="DV17" s="54" t="s">
        <v>176</v>
      </c>
      <c r="DW17" s="54" t="s">
        <v>176</v>
      </c>
      <c r="DX17" s="54" t="s">
        <v>176</v>
      </c>
      <c r="DY17" s="54" t="s">
        <v>176</v>
      </c>
      <c r="DZ17" s="54" t="s">
        <v>176</v>
      </c>
      <c r="EA17" s="54" t="s">
        <v>176</v>
      </c>
      <c r="EB17" s="54" t="s">
        <v>176</v>
      </c>
      <c r="EC17" s="54" t="s">
        <v>176</v>
      </c>
      <c r="ED17" s="54" t="s">
        <v>176</v>
      </c>
      <c r="EE17" s="54" t="s">
        <v>176</v>
      </c>
      <c r="EF17" s="54" t="s">
        <v>176</v>
      </c>
      <c r="EG17" s="54" t="s">
        <v>176</v>
      </c>
      <c r="EH17" s="54" t="s">
        <v>176</v>
      </c>
      <c r="EI17" s="54" t="s">
        <v>176</v>
      </c>
      <c r="EJ17" s="54" t="s">
        <v>176</v>
      </c>
      <c r="EK17" s="54" t="s">
        <v>176</v>
      </c>
      <c r="EL17" s="54" t="s">
        <v>176</v>
      </c>
      <c r="EM17" s="54" t="s">
        <v>176</v>
      </c>
      <c r="EN17" s="54" t="s">
        <v>176</v>
      </c>
      <c r="EO17" s="54" t="s">
        <v>176</v>
      </c>
      <c r="EP17" s="54" t="s">
        <v>176</v>
      </c>
      <c r="EQ17" s="54" t="s">
        <v>176</v>
      </c>
      <c r="ER17" s="54" t="s">
        <v>176</v>
      </c>
      <c r="ES17" s="54" t="s">
        <v>176</v>
      </c>
      <c r="ET17" s="54"/>
      <c r="EU17" s="54" t="s">
        <v>176</v>
      </c>
      <c r="EV17" s="54" t="s">
        <v>176</v>
      </c>
      <c r="EW17" s="54" t="s">
        <v>176</v>
      </c>
      <c r="EX17" s="54" t="s">
        <v>176</v>
      </c>
      <c r="EY17" s="54" t="s">
        <v>176</v>
      </c>
      <c r="EZ17" s="54" t="s">
        <v>176</v>
      </c>
      <c r="FA17" s="54" t="s">
        <v>176</v>
      </c>
      <c r="FB17" s="54" t="s">
        <v>176</v>
      </c>
      <c r="FC17" s="54" t="s">
        <v>176</v>
      </c>
      <c r="FD17" s="54" t="s">
        <v>176</v>
      </c>
      <c r="FE17" s="54" t="s">
        <v>176</v>
      </c>
      <c r="FF17" s="54" t="s">
        <v>176</v>
      </c>
      <c r="FG17" s="54" t="s">
        <v>176</v>
      </c>
      <c r="FH17" s="54" t="s">
        <v>176</v>
      </c>
      <c r="FI17" s="54" t="s">
        <v>176</v>
      </c>
      <c r="FJ17" s="54" t="s">
        <v>176</v>
      </c>
      <c r="FK17" s="54" t="s">
        <v>176</v>
      </c>
      <c r="FL17" s="54" t="s">
        <v>176</v>
      </c>
      <c r="FM17" s="54"/>
      <c r="FN17" s="54" t="s">
        <v>176</v>
      </c>
      <c r="FO17" s="54" t="s">
        <v>176</v>
      </c>
      <c r="FP17" s="54" t="s">
        <v>176</v>
      </c>
      <c r="FQ17" s="54" t="s">
        <v>176</v>
      </c>
      <c r="FR17" s="54" t="s">
        <v>176</v>
      </c>
      <c r="FS17" s="54" t="s">
        <v>176</v>
      </c>
      <c r="FT17" s="54" t="s">
        <v>176</v>
      </c>
      <c r="FU17" s="54" t="s">
        <v>176</v>
      </c>
    </row>
    <row r="18" spans="1:178" ht="23.25" x14ac:dyDescent="0.25">
      <c r="A18" s="60" t="s">
        <v>176</v>
      </c>
      <c r="B18" s="54" t="s">
        <v>176</v>
      </c>
      <c r="C18" s="54"/>
      <c r="D18" s="54" t="s">
        <v>176</v>
      </c>
      <c r="E18" s="54"/>
      <c r="F18" s="54" t="s">
        <v>176</v>
      </c>
      <c r="G18" s="54"/>
      <c r="H18" s="54" t="s">
        <v>176</v>
      </c>
      <c r="I18" s="54"/>
      <c r="J18" s="54" t="s">
        <v>176</v>
      </c>
      <c r="K18" s="54"/>
      <c r="L18" s="54" t="s">
        <v>176</v>
      </c>
      <c r="M18" s="54"/>
      <c r="N18" s="54" t="s">
        <v>176</v>
      </c>
      <c r="O18" s="54"/>
      <c r="P18" s="54" t="s">
        <v>176</v>
      </c>
      <c r="Q18" s="54"/>
      <c r="R18" s="54" t="s">
        <v>176</v>
      </c>
      <c r="S18" s="54"/>
      <c r="T18" s="54" t="s">
        <v>176</v>
      </c>
      <c r="U18" s="54"/>
      <c r="V18" s="54" t="s">
        <v>176</v>
      </c>
      <c r="W18" s="54"/>
      <c r="X18" s="54" t="s">
        <v>176</v>
      </c>
      <c r="Y18" s="54"/>
      <c r="Z18" s="54" t="s">
        <v>176</v>
      </c>
      <c r="AA18" s="54"/>
      <c r="AB18" s="54" t="s">
        <v>176</v>
      </c>
      <c r="AC18" s="54"/>
      <c r="AD18" s="54" t="s">
        <v>176</v>
      </c>
      <c r="AE18" s="54"/>
      <c r="AF18" s="54" t="s">
        <v>176</v>
      </c>
      <c r="AG18" s="54"/>
      <c r="AH18" s="54" t="s">
        <v>176</v>
      </c>
      <c r="AI18" s="54"/>
      <c r="AJ18" s="54" t="s">
        <v>176</v>
      </c>
      <c r="AK18" s="54"/>
      <c r="AL18" s="54" t="s">
        <v>176</v>
      </c>
      <c r="AM18" s="54"/>
      <c r="AN18" s="54" t="s">
        <v>176</v>
      </c>
      <c r="AO18" s="54"/>
      <c r="AP18" s="54" t="s">
        <v>176</v>
      </c>
      <c r="AQ18" s="54"/>
      <c r="AR18" s="54" t="s">
        <v>176</v>
      </c>
      <c r="AS18" s="54"/>
      <c r="AT18" s="54" t="s">
        <v>176</v>
      </c>
      <c r="AU18" s="54"/>
      <c r="AV18" s="54" t="s">
        <v>176</v>
      </c>
      <c r="AW18" s="54"/>
      <c r="AX18" s="54" t="s">
        <v>176</v>
      </c>
      <c r="AY18" s="54"/>
      <c r="AZ18" s="54" t="s">
        <v>176</v>
      </c>
      <c r="BA18" s="54"/>
      <c r="BB18" s="54" t="s">
        <v>176</v>
      </c>
      <c r="BC18" s="54"/>
      <c r="BD18" s="54" t="s">
        <v>176</v>
      </c>
      <c r="BE18" s="54"/>
      <c r="BF18" s="54" t="s">
        <v>176</v>
      </c>
      <c r="BG18" s="54"/>
      <c r="BH18" s="54" t="s">
        <v>176</v>
      </c>
      <c r="BI18" s="54"/>
      <c r="BJ18" s="54" t="s">
        <v>176</v>
      </c>
      <c r="BK18" s="54"/>
      <c r="BL18" s="54" t="s">
        <v>176</v>
      </c>
      <c r="BM18" s="54"/>
      <c r="BN18" s="54" t="s">
        <v>176</v>
      </c>
      <c r="BO18" s="54"/>
      <c r="BP18" s="54" t="s">
        <v>176</v>
      </c>
      <c r="BQ18" s="54"/>
      <c r="BR18" s="54" t="s">
        <v>176</v>
      </c>
      <c r="BS18" s="54"/>
      <c r="BT18" s="54" t="s">
        <v>176</v>
      </c>
      <c r="BU18" s="54"/>
      <c r="BV18" s="54" t="s">
        <v>176</v>
      </c>
      <c r="BW18" s="54"/>
      <c r="BX18" s="54" t="s">
        <v>176</v>
      </c>
      <c r="BY18" s="54"/>
      <c r="BZ18" s="54" t="s">
        <v>176</v>
      </c>
      <c r="CA18" s="54"/>
      <c r="CB18" s="54" t="s">
        <v>176</v>
      </c>
      <c r="CC18" s="54"/>
      <c r="CD18" s="54" t="s">
        <v>176</v>
      </c>
      <c r="CE18" s="54"/>
      <c r="CF18" s="54" t="s">
        <v>176</v>
      </c>
      <c r="CG18" s="54"/>
      <c r="CH18" s="54" t="s">
        <v>176</v>
      </c>
      <c r="CI18" s="54"/>
      <c r="CJ18" s="54" t="s">
        <v>176</v>
      </c>
      <c r="CK18" s="54"/>
      <c r="CL18" s="54" t="s">
        <v>176</v>
      </c>
      <c r="CM18" s="54"/>
      <c r="CN18" s="54" t="s">
        <v>176</v>
      </c>
      <c r="CO18" s="54"/>
      <c r="CP18" s="54" t="s">
        <v>176</v>
      </c>
      <c r="CQ18" s="54"/>
      <c r="CR18" s="54" t="s">
        <v>176</v>
      </c>
      <c r="CS18" s="54"/>
      <c r="CT18" s="54" t="s">
        <v>176</v>
      </c>
      <c r="CU18" s="54"/>
      <c r="CV18" s="54" t="s">
        <v>176</v>
      </c>
      <c r="CW18" s="54" t="s">
        <v>176</v>
      </c>
      <c r="CX18" s="54" t="s">
        <v>176</v>
      </c>
      <c r="CY18" s="54" t="s">
        <v>176</v>
      </c>
      <c r="CZ18" s="54"/>
      <c r="DA18" s="54" t="s">
        <v>176</v>
      </c>
      <c r="DB18" s="54" t="s">
        <v>176</v>
      </c>
      <c r="DC18" s="54" t="s">
        <v>176</v>
      </c>
      <c r="DD18" s="54" t="s">
        <v>176</v>
      </c>
      <c r="DE18" s="54" t="s">
        <v>176</v>
      </c>
      <c r="DF18" s="54" t="s">
        <v>176</v>
      </c>
      <c r="DG18" s="54" t="s">
        <v>176</v>
      </c>
      <c r="DH18" s="54" t="s">
        <v>176</v>
      </c>
      <c r="DI18" s="54" t="s">
        <v>176</v>
      </c>
      <c r="DJ18" s="54" t="s">
        <v>176</v>
      </c>
      <c r="DK18" s="54" t="s">
        <v>176</v>
      </c>
      <c r="DL18" s="54" t="s">
        <v>176</v>
      </c>
      <c r="DM18" s="54" t="s">
        <v>176</v>
      </c>
      <c r="DN18" s="54" t="s">
        <v>176</v>
      </c>
      <c r="DO18" s="54" t="s">
        <v>176</v>
      </c>
      <c r="DP18" s="54" t="s">
        <v>176</v>
      </c>
      <c r="DQ18" s="54" t="s">
        <v>176</v>
      </c>
      <c r="DR18" s="54" t="s">
        <v>176</v>
      </c>
      <c r="DS18" s="54" t="s">
        <v>176</v>
      </c>
      <c r="DT18" s="54" t="s">
        <v>176</v>
      </c>
      <c r="DU18" s="54" t="s">
        <v>176</v>
      </c>
      <c r="DV18" s="54" t="s">
        <v>176</v>
      </c>
      <c r="DW18" s="54" t="s">
        <v>176</v>
      </c>
      <c r="DX18" s="54" t="s">
        <v>176</v>
      </c>
      <c r="DY18" s="54" t="s">
        <v>176</v>
      </c>
      <c r="DZ18" s="54" t="s">
        <v>176</v>
      </c>
      <c r="EA18" s="54" t="s">
        <v>176</v>
      </c>
      <c r="EB18" s="54" t="s">
        <v>176</v>
      </c>
      <c r="EC18" s="54" t="s">
        <v>176</v>
      </c>
      <c r="ED18" s="54" t="s">
        <v>176</v>
      </c>
      <c r="EE18" s="54" t="s">
        <v>176</v>
      </c>
      <c r="EF18" s="54" t="s">
        <v>176</v>
      </c>
      <c r="EG18" s="54" t="s">
        <v>176</v>
      </c>
      <c r="EH18" s="54" t="s">
        <v>176</v>
      </c>
      <c r="EI18" s="54" t="s">
        <v>176</v>
      </c>
      <c r="EJ18" s="54" t="s">
        <v>176</v>
      </c>
      <c r="EK18" s="54" t="s">
        <v>176</v>
      </c>
      <c r="EL18" s="54" t="s">
        <v>176</v>
      </c>
      <c r="EM18" s="54" t="s">
        <v>176</v>
      </c>
      <c r="EN18" s="54" t="s">
        <v>176</v>
      </c>
      <c r="EO18" s="54" t="s">
        <v>176</v>
      </c>
      <c r="EP18" s="54" t="s">
        <v>176</v>
      </c>
      <c r="EQ18" s="54" t="s">
        <v>176</v>
      </c>
      <c r="ER18" s="54" t="s">
        <v>176</v>
      </c>
      <c r="ES18" s="54" t="s">
        <v>176</v>
      </c>
      <c r="ET18" s="54"/>
      <c r="EU18" s="54" t="s">
        <v>176</v>
      </c>
      <c r="EV18" s="54" t="s">
        <v>176</v>
      </c>
      <c r="EW18" s="54" t="s">
        <v>176</v>
      </c>
      <c r="EX18" s="54" t="s">
        <v>176</v>
      </c>
      <c r="EY18" s="54" t="s">
        <v>176</v>
      </c>
      <c r="EZ18" s="54" t="s">
        <v>176</v>
      </c>
      <c r="FA18" s="54" t="s">
        <v>176</v>
      </c>
      <c r="FB18" s="54" t="s">
        <v>176</v>
      </c>
      <c r="FC18" s="54" t="s">
        <v>176</v>
      </c>
      <c r="FD18" s="54" t="s">
        <v>176</v>
      </c>
      <c r="FE18" s="54" t="s">
        <v>176</v>
      </c>
      <c r="FF18" s="54" t="s">
        <v>176</v>
      </c>
      <c r="FG18" s="54" t="s">
        <v>176</v>
      </c>
      <c r="FH18" s="54" t="s">
        <v>176</v>
      </c>
      <c r="FI18" s="54" t="s">
        <v>176</v>
      </c>
      <c r="FJ18" s="54" t="s">
        <v>176</v>
      </c>
      <c r="FK18" s="54" t="s">
        <v>176</v>
      </c>
      <c r="FL18" s="54" t="s">
        <v>176</v>
      </c>
      <c r="FM18" s="54"/>
      <c r="FN18" s="54" t="s">
        <v>176</v>
      </c>
      <c r="FO18" s="54" t="s">
        <v>176</v>
      </c>
      <c r="FP18" s="54" t="s">
        <v>176</v>
      </c>
      <c r="FQ18" s="54" t="s">
        <v>176</v>
      </c>
      <c r="FR18" s="54" t="s">
        <v>176</v>
      </c>
      <c r="FS18" s="54" t="s">
        <v>176</v>
      </c>
      <c r="FT18" s="54" t="s">
        <v>176</v>
      </c>
      <c r="FU18" s="54" t="s">
        <v>176</v>
      </c>
    </row>
    <row r="19" spans="1:178" ht="23.25" x14ac:dyDescent="0.25">
      <c r="A19" s="60" t="s">
        <v>176</v>
      </c>
      <c r="B19" s="54" t="s">
        <v>176</v>
      </c>
      <c r="C19" s="54"/>
      <c r="D19" s="54" t="s">
        <v>176</v>
      </c>
      <c r="E19" s="54"/>
      <c r="F19" s="54" t="s">
        <v>176</v>
      </c>
      <c r="G19" s="54"/>
      <c r="H19" s="54" t="s">
        <v>176</v>
      </c>
      <c r="I19" s="54"/>
      <c r="J19" s="54" t="s">
        <v>176</v>
      </c>
      <c r="K19" s="54"/>
      <c r="L19" s="54" t="s">
        <v>176</v>
      </c>
      <c r="M19" s="54"/>
      <c r="N19" s="54" t="s">
        <v>176</v>
      </c>
      <c r="O19" s="54"/>
      <c r="P19" s="54" t="s">
        <v>176</v>
      </c>
      <c r="Q19" s="54"/>
      <c r="R19" s="54" t="s">
        <v>176</v>
      </c>
      <c r="S19" s="54"/>
      <c r="T19" s="54" t="s">
        <v>176</v>
      </c>
      <c r="U19" s="54"/>
      <c r="V19" s="54" t="s">
        <v>176</v>
      </c>
      <c r="W19" s="54"/>
      <c r="X19" s="54" t="s">
        <v>176</v>
      </c>
      <c r="Y19" s="54"/>
      <c r="Z19" s="54" t="s">
        <v>176</v>
      </c>
      <c r="AA19" s="54"/>
      <c r="AB19" s="54" t="s">
        <v>176</v>
      </c>
      <c r="AC19" s="54"/>
      <c r="AD19" s="54" t="s">
        <v>176</v>
      </c>
      <c r="AE19" s="54"/>
      <c r="AF19" s="54" t="s">
        <v>176</v>
      </c>
      <c r="AG19" s="54"/>
      <c r="AH19" s="54" t="s">
        <v>176</v>
      </c>
      <c r="AI19" s="54"/>
      <c r="AJ19" s="54" t="s">
        <v>176</v>
      </c>
      <c r="AK19" s="54"/>
      <c r="AL19" s="54" t="s">
        <v>176</v>
      </c>
      <c r="AM19" s="54"/>
      <c r="AN19" s="54" t="s">
        <v>176</v>
      </c>
      <c r="AO19" s="54"/>
      <c r="AP19" s="54" t="s">
        <v>176</v>
      </c>
      <c r="AQ19" s="54"/>
      <c r="AR19" s="54" t="s">
        <v>176</v>
      </c>
      <c r="AS19" s="54"/>
      <c r="AT19" s="54" t="s">
        <v>176</v>
      </c>
      <c r="AU19" s="54"/>
      <c r="AV19" s="54" t="s">
        <v>176</v>
      </c>
      <c r="AW19" s="54"/>
      <c r="AX19" s="54" t="s">
        <v>176</v>
      </c>
      <c r="AY19" s="54"/>
      <c r="AZ19" s="54" t="s">
        <v>176</v>
      </c>
      <c r="BA19" s="54"/>
      <c r="BB19" s="54" t="s">
        <v>176</v>
      </c>
      <c r="BC19" s="54"/>
      <c r="BD19" s="54" t="s">
        <v>176</v>
      </c>
      <c r="BE19" s="54"/>
      <c r="BF19" s="54" t="s">
        <v>176</v>
      </c>
      <c r="BG19" s="54"/>
      <c r="BH19" s="54" t="s">
        <v>176</v>
      </c>
      <c r="BI19" s="54"/>
      <c r="BJ19" s="54" t="s">
        <v>176</v>
      </c>
      <c r="BK19" s="54"/>
      <c r="BL19" s="54" t="s">
        <v>176</v>
      </c>
      <c r="BM19" s="54"/>
      <c r="BN19" s="54" t="s">
        <v>176</v>
      </c>
      <c r="BO19" s="54"/>
      <c r="BP19" s="54" t="s">
        <v>176</v>
      </c>
      <c r="BQ19" s="54"/>
      <c r="BR19" s="54" t="s">
        <v>176</v>
      </c>
      <c r="BS19" s="54"/>
      <c r="BT19" s="54" t="s">
        <v>176</v>
      </c>
      <c r="BU19" s="54"/>
      <c r="BV19" s="54" t="s">
        <v>176</v>
      </c>
      <c r="BW19" s="54"/>
      <c r="BX19" s="54" t="s">
        <v>176</v>
      </c>
      <c r="BY19" s="54"/>
      <c r="BZ19" s="54" t="s">
        <v>176</v>
      </c>
      <c r="CA19" s="54"/>
      <c r="CB19" s="54" t="s">
        <v>176</v>
      </c>
      <c r="CC19" s="54"/>
      <c r="CD19" s="54" t="s">
        <v>176</v>
      </c>
      <c r="CE19" s="54"/>
      <c r="CF19" s="54" t="s">
        <v>176</v>
      </c>
      <c r="CG19" s="54"/>
      <c r="CH19" s="54" t="s">
        <v>176</v>
      </c>
      <c r="CI19" s="54"/>
      <c r="CJ19" s="54" t="s">
        <v>176</v>
      </c>
      <c r="CK19" s="54"/>
      <c r="CL19" s="54" t="s">
        <v>176</v>
      </c>
      <c r="CM19" s="54"/>
      <c r="CN19" s="54" t="s">
        <v>176</v>
      </c>
      <c r="CO19" s="54"/>
      <c r="CP19" s="54" t="s">
        <v>176</v>
      </c>
      <c r="CQ19" s="54"/>
      <c r="CR19" s="54" t="s">
        <v>176</v>
      </c>
      <c r="CS19" s="54"/>
      <c r="CT19" s="54" t="s">
        <v>176</v>
      </c>
      <c r="CU19" s="54"/>
      <c r="CV19" s="54" t="s">
        <v>176</v>
      </c>
      <c r="CW19" s="54" t="s">
        <v>176</v>
      </c>
      <c r="CX19" s="54" t="s">
        <v>176</v>
      </c>
      <c r="CY19" s="54" t="s">
        <v>176</v>
      </c>
      <c r="CZ19" s="54"/>
      <c r="DA19" s="54" t="s">
        <v>176</v>
      </c>
      <c r="DB19" s="54" t="s">
        <v>176</v>
      </c>
      <c r="DC19" s="54" t="s">
        <v>176</v>
      </c>
      <c r="DD19" s="54" t="s">
        <v>176</v>
      </c>
      <c r="DE19" s="54" t="s">
        <v>176</v>
      </c>
      <c r="DF19" s="54" t="s">
        <v>176</v>
      </c>
      <c r="DG19" s="54" t="s">
        <v>176</v>
      </c>
      <c r="DH19" s="54" t="s">
        <v>176</v>
      </c>
      <c r="DI19" s="54" t="s">
        <v>176</v>
      </c>
      <c r="DJ19" s="54" t="s">
        <v>176</v>
      </c>
      <c r="DK19" s="54" t="s">
        <v>176</v>
      </c>
      <c r="DL19" s="54" t="s">
        <v>176</v>
      </c>
      <c r="DM19" s="54" t="s">
        <v>176</v>
      </c>
      <c r="DN19" s="54" t="s">
        <v>176</v>
      </c>
      <c r="DO19" s="54" t="s">
        <v>176</v>
      </c>
      <c r="DP19" s="54" t="s">
        <v>176</v>
      </c>
      <c r="DQ19" s="54" t="s">
        <v>176</v>
      </c>
      <c r="DR19" s="54" t="s">
        <v>176</v>
      </c>
      <c r="DS19" s="54" t="s">
        <v>176</v>
      </c>
      <c r="DT19" s="54" t="s">
        <v>176</v>
      </c>
      <c r="DU19" s="54" t="s">
        <v>176</v>
      </c>
      <c r="DV19" s="54" t="s">
        <v>176</v>
      </c>
      <c r="DW19" s="54" t="s">
        <v>176</v>
      </c>
      <c r="DX19" s="54" t="s">
        <v>176</v>
      </c>
      <c r="DY19" s="54" t="s">
        <v>176</v>
      </c>
      <c r="DZ19" s="54" t="s">
        <v>176</v>
      </c>
      <c r="EA19" s="54" t="s">
        <v>176</v>
      </c>
      <c r="EB19" s="54" t="s">
        <v>176</v>
      </c>
      <c r="EC19" s="54" t="s">
        <v>176</v>
      </c>
      <c r="ED19" s="54" t="s">
        <v>176</v>
      </c>
      <c r="EE19" s="54" t="s">
        <v>176</v>
      </c>
      <c r="EF19" s="54" t="s">
        <v>176</v>
      </c>
      <c r="EG19" s="54" t="s">
        <v>176</v>
      </c>
      <c r="EH19" s="54" t="s">
        <v>176</v>
      </c>
      <c r="EI19" s="54" t="s">
        <v>176</v>
      </c>
      <c r="EJ19" s="54" t="s">
        <v>176</v>
      </c>
      <c r="EK19" s="54" t="s">
        <v>176</v>
      </c>
      <c r="EL19" s="54" t="s">
        <v>176</v>
      </c>
      <c r="EM19" s="54" t="s">
        <v>176</v>
      </c>
      <c r="EN19" s="54" t="s">
        <v>176</v>
      </c>
      <c r="EO19" s="54" t="s">
        <v>176</v>
      </c>
      <c r="EP19" s="54" t="s">
        <v>176</v>
      </c>
      <c r="EQ19" s="54" t="s">
        <v>176</v>
      </c>
      <c r="ER19" s="54" t="s">
        <v>176</v>
      </c>
      <c r="ES19" s="54" t="s">
        <v>176</v>
      </c>
      <c r="ET19" s="54"/>
      <c r="EU19" s="54" t="s">
        <v>176</v>
      </c>
      <c r="EV19" s="54" t="s">
        <v>176</v>
      </c>
      <c r="EW19" s="54" t="s">
        <v>176</v>
      </c>
      <c r="EX19" s="54" t="s">
        <v>176</v>
      </c>
      <c r="EY19" s="54" t="s">
        <v>176</v>
      </c>
      <c r="EZ19" s="54" t="s">
        <v>176</v>
      </c>
      <c r="FA19" s="54" t="s">
        <v>176</v>
      </c>
      <c r="FB19" s="54" t="s">
        <v>176</v>
      </c>
      <c r="FC19" s="54" t="s">
        <v>176</v>
      </c>
      <c r="FD19" s="54" t="s">
        <v>176</v>
      </c>
      <c r="FE19" s="54" t="s">
        <v>176</v>
      </c>
      <c r="FF19" s="54" t="s">
        <v>176</v>
      </c>
      <c r="FG19" s="54" t="s">
        <v>176</v>
      </c>
      <c r="FH19" s="54" t="s">
        <v>176</v>
      </c>
      <c r="FI19" s="54" t="s">
        <v>176</v>
      </c>
      <c r="FJ19" s="54" t="s">
        <v>176</v>
      </c>
      <c r="FK19" s="54" t="s">
        <v>176</v>
      </c>
      <c r="FL19" s="54" t="s">
        <v>176</v>
      </c>
      <c r="FM19" s="54"/>
      <c r="FN19" s="54" t="s">
        <v>176</v>
      </c>
      <c r="FO19" s="54" t="s">
        <v>176</v>
      </c>
      <c r="FP19" s="54" t="s">
        <v>176</v>
      </c>
      <c r="FQ19" s="54" t="s">
        <v>176</v>
      </c>
      <c r="FR19" s="54" t="s">
        <v>176</v>
      </c>
      <c r="FS19" s="54" t="s">
        <v>176</v>
      </c>
      <c r="FT19" s="54" t="s">
        <v>176</v>
      </c>
      <c r="FU19" s="54" t="s">
        <v>176</v>
      </c>
    </row>
    <row r="20" spans="1:178" x14ac:dyDescent="0.3">
      <c r="EO20"/>
      <c r="EP20"/>
      <c r="EQ20"/>
      <c r="ER20"/>
      <c r="EU20"/>
      <c r="EV20"/>
      <c r="EW20"/>
      <c r="EX20"/>
      <c r="EY20"/>
    </row>
    <row r="21" spans="1:178" x14ac:dyDescent="0.3">
      <c r="EO21"/>
      <c r="EP21"/>
      <c r="EQ21"/>
      <c r="ER21"/>
      <c r="EU21"/>
      <c r="EV21"/>
      <c r="EW21"/>
      <c r="EX21"/>
      <c r="EY21"/>
    </row>
    <row r="22" spans="1:178" x14ac:dyDescent="0.3">
      <c r="EO22"/>
      <c r="EP22"/>
      <c r="EQ22"/>
      <c r="ER22"/>
      <c r="EU22"/>
      <c r="EV22"/>
      <c r="EW22"/>
      <c r="EX22"/>
      <c r="EY22"/>
    </row>
    <row r="23" spans="1:178" x14ac:dyDescent="0.3">
      <c r="EO23"/>
      <c r="EP23"/>
      <c r="EQ23"/>
      <c r="ER23"/>
      <c r="EU23"/>
      <c r="EV23"/>
      <c r="EW23"/>
      <c r="EX23"/>
      <c r="EY23"/>
    </row>
    <row r="24" spans="1:178" x14ac:dyDescent="0.3">
      <c r="A24" s="59">
        <v>1</v>
      </c>
      <c r="B24" s="45">
        <v>2</v>
      </c>
      <c r="C24" s="59">
        <v>3</v>
      </c>
      <c r="D24" s="45">
        <v>4</v>
      </c>
      <c r="E24" s="59">
        <v>5</v>
      </c>
      <c r="F24" s="45">
        <v>6</v>
      </c>
      <c r="G24" s="59">
        <v>7</v>
      </c>
      <c r="H24" s="45">
        <v>8</v>
      </c>
      <c r="I24" s="59">
        <v>9</v>
      </c>
      <c r="J24" s="45">
        <v>10</v>
      </c>
      <c r="K24" s="59">
        <v>11</v>
      </c>
      <c r="L24" s="45">
        <v>12</v>
      </c>
      <c r="M24" s="59">
        <v>13</v>
      </c>
      <c r="N24" s="45">
        <v>14</v>
      </c>
      <c r="O24" s="59">
        <v>15</v>
      </c>
      <c r="P24" s="45">
        <v>16</v>
      </c>
      <c r="Q24" s="59">
        <v>17</v>
      </c>
      <c r="R24" s="45">
        <v>18</v>
      </c>
      <c r="S24" s="59">
        <v>19</v>
      </c>
      <c r="T24" s="45">
        <v>20</v>
      </c>
      <c r="U24" s="59">
        <v>21</v>
      </c>
      <c r="V24" s="45">
        <v>22</v>
      </c>
      <c r="W24" s="59">
        <v>23</v>
      </c>
      <c r="X24" s="45">
        <v>24</v>
      </c>
      <c r="Y24" s="59">
        <v>25</v>
      </c>
      <c r="Z24" s="45">
        <v>26</v>
      </c>
      <c r="AA24" s="59">
        <v>27</v>
      </c>
      <c r="AB24" s="45">
        <v>28</v>
      </c>
      <c r="AC24" s="59">
        <v>29</v>
      </c>
      <c r="AD24" s="45">
        <v>30</v>
      </c>
      <c r="AE24" s="59">
        <v>31</v>
      </c>
      <c r="AF24" s="45">
        <v>32</v>
      </c>
      <c r="AG24" s="59">
        <v>33</v>
      </c>
      <c r="AH24" s="45">
        <v>34</v>
      </c>
      <c r="AI24" s="59">
        <v>35</v>
      </c>
      <c r="AJ24" s="45">
        <v>36</v>
      </c>
      <c r="AK24" s="59">
        <v>37</v>
      </c>
      <c r="AL24" s="45">
        <v>38</v>
      </c>
      <c r="AM24" s="59">
        <v>39</v>
      </c>
      <c r="AN24" s="45">
        <v>40</v>
      </c>
      <c r="AO24" s="59">
        <v>41</v>
      </c>
      <c r="AP24" s="45">
        <v>42</v>
      </c>
      <c r="AQ24" s="59">
        <v>43</v>
      </c>
      <c r="AR24" s="45">
        <v>44</v>
      </c>
      <c r="AS24" s="59">
        <v>45</v>
      </c>
      <c r="AT24" s="45">
        <v>46</v>
      </c>
      <c r="AU24" s="59">
        <v>47</v>
      </c>
      <c r="AV24" s="45">
        <v>48</v>
      </c>
      <c r="AW24" s="59">
        <v>49</v>
      </c>
      <c r="AX24" s="45">
        <v>50</v>
      </c>
      <c r="AY24" s="59">
        <v>51</v>
      </c>
      <c r="AZ24" s="45">
        <v>52</v>
      </c>
      <c r="BA24" s="59">
        <v>53</v>
      </c>
      <c r="BB24" s="45">
        <v>54</v>
      </c>
      <c r="BC24" s="59">
        <v>55</v>
      </c>
      <c r="BD24" s="45">
        <v>56</v>
      </c>
      <c r="BE24" s="59">
        <v>57</v>
      </c>
      <c r="BF24" s="45">
        <v>58</v>
      </c>
      <c r="BG24" s="59">
        <v>59</v>
      </c>
      <c r="BH24" s="45">
        <v>60</v>
      </c>
      <c r="BI24" s="59">
        <v>61</v>
      </c>
      <c r="BJ24" s="45">
        <v>62</v>
      </c>
      <c r="BK24" s="59">
        <v>63</v>
      </c>
      <c r="BL24" s="45">
        <v>64</v>
      </c>
      <c r="BM24" s="59">
        <v>65</v>
      </c>
      <c r="BN24" s="45">
        <v>66</v>
      </c>
      <c r="BO24" s="59">
        <v>67</v>
      </c>
      <c r="BP24" s="45">
        <v>68</v>
      </c>
      <c r="BQ24" s="59">
        <v>69</v>
      </c>
      <c r="BR24" s="45">
        <v>70</v>
      </c>
      <c r="BS24" s="59">
        <v>71</v>
      </c>
      <c r="BT24" s="45">
        <v>72</v>
      </c>
      <c r="BU24" s="59">
        <v>73</v>
      </c>
      <c r="BV24" s="45">
        <v>74</v>
      </c>
      <c r="BW24" s="59">
        <v>75</v>
      </c>
      <c r="BX24" s="45">
        <v>76</v>
      </c>
      <c r="BY24" s="59">
        <v>77</v>
      </c>
      <c r="BZ24" s="45">
        <v>78</v>
      </c>
      <c r="CA24" s="59">
        <v>79</v>
      </c>
      <c r="CB24" s="45">
        <v>80</v>
      </c>
      <c r="CC24" s="59">
        <v>81</v>
      </c>
      <c r="CD24" s="45">
        <v>82</v>
      </c>
      <c r="CE24" s="59">
        <v>83</v>
      </c>
      <c r="CF24" s="45">
        <v>84</v>
      </c>
      <c r="CG24" s="59">
        <v>85</v>
      </c>
      <c r="CH24" s="45">
        <v>86</v>
      </c>
      <c r="CI24" s="59">
        <v>87</v>
      </c>
      <c r="CJ24" s="45">
        <v>88</v>
      </c>
      <c r="CK24" s="59">
        <v>89</v>
      </c>
      <c r="CL24" s="45">
        <v>90</v>
      </c>
      <c r="CM24" s="59">
        <v>91</v>
      </c>
      <c r="CN24" s="45">
        <v>92</v>
      </c>
      <c r="CO24" s="59">
        <v>93</v>
      </c>
      <c r="CP24" s="45">
        <v>94</v>
      </c>
      <c r="CQ24" s="59">
        <v>95</v>
      </c>
      <c r="CR24" s="45">
        <v>96</v>
      </c>
      <c r="CS24" s="59">
        <v>97</v>
      </c>
      <c r="CT24" s="45">
        <v>98</v>
      </c>
      <c r="CU24" s="59">
        <v>99</v>
      </c>
      <c r="CV24" s="45">
        <v>100</v>
      </c>
      <c r="CW24" s="59">
        <v>101</v>
      </c>
      <c r="CX24" s="45">
        <v>102</v>
      </c>
      <c r="CY24" s="59">
        <v>103</v>
      </c>
      <c r="CZ24" s="45">
        <v>104</v>
      </c>
      <c r="DA24" s="59">
        <v>105</v>
      </c>
      <c r="DB24" s="45">
        <v>106</v>
      </c>
      <c r="DC24" s="59">
        <v>107</v>
      </c>
      <c r="DD24" s="45">
        <v>108</v>
      </c>
      <c r="DE24" s="59">
        <v>109</v>
      </c>
      <c r="DF24" s="45">
        <v>110</v>
      </c>
      <c r="DG24" s="59">
        <v>111</v>
      </c>
      <c r="DH24" s="45">
        <v>112</v>
      </c>
      <c r="DI24" s="59">
        <v>113</v>
      </c>
      <c r="DJ24" s="45">
        <v>114</v>
      </c>
      <c r="DK24" s="59">
        <v>115</v>
      </c>
      <c r="DL24" s="45">
        <v>116</v>
      </c>
      <c r="DM24" s="59">
        <v>117</v>
      </c>
      <c r="DN24" s="45">
        <v>118</v>
      </c>
      <c r="DO24" s="59">
        <v>119</v>
      </c>
      <c r="DP24" s="45">
        <v>120</v>
      </c>
      <c r="DQ24" s="59">
        <v>121</v>
      </c>
      <c r="DR24" s="45">
        <v>122</v>
      </c>
      <c r="DS24" s="59">
        <v>123</v>
      </c>
      <c r="DT24" s="45">
        <v>124</v>
      </c>
      <c r="DU24" s="59">
        <v>125</v>
      </c>
      <c r="DV24" s="45">
        <v>126</v>
      </c>
      <c r="DW24" s="59">
        <v>127</v>
      </c>
      <c r="DX24" s="45">
        <v>128</v>
      </c>
      <c r="DY24" s="59">
        <v>129</v>
      </c>
      <c r="DZ24" s="45">
        <v>130</v>
      </c>
      <c r="EA24" s="59">
        <v>131</v>
      </c>
      <c r="EB24" s="45">
        <v>132</v>
      </c>
      <c r="EC24" s="59">
        <v>133</v>
      </c>
      <c r="ED24" s="45">
        <v>134</v>
      </c>
      <c r="EE24" s="59">
        <v>135</v>
      </c>
      <c r="EF24" s="45">
        <v>136</v>
      </c>
      <c r="EG24" s="59">
        <v>137</v>
      </c>
      <c r="EH24" s="45">
        <v>138</v>
      </c>
      <c r="EI24" s="59">
        <v>139</v>
      </c>
      <c r="EJ24" s="45">
        <v>140</v>
      </c>
      <c r="EK24" s="59">
        <v>141</v>
      </c>
      <c r="EL24" s="45">
        <v>142</v>
      </c>
      <c r="EM24" s="59">
        <v>143</v>
      </c>
      <c r="EN24" s="45">
        <v>144</v>
      </c>
      <c r="EO24" s="59">
        <v>145</v>
      </c>
      <c r="EP24" s="45">
        <v>146</v>
      </c>
      <c r="EQ24" s="59">
        <v>147</v>
      </c>
      <c r="ER24" s="45">
        <v>148</v>
      </c>
      <c r="ES24" s="59">
        <v>149</v>
      </c>
      <c r="ET24" s="45">
        <v>150</v>
      </c>
      <c r="EU24" s="59">
        <v>151</v>
      </c>
      <c r="EV24" s="45">
        <v>152</v>
      </c>
      <c r="EW24" s="59">
        <v>153</v>
      </c>
      <c r="EX24" s="45">
        <v>154</v>
      </c>
      <c r="EY24" s="59">
        <v>155</v>
      </c>
      <c r="EZ24" s="45">
        <v>156</v>
      </c>
      <c r="FA24" s="59">
        <v>157</v>
      </c>
      <c r="FB24" s="45">
        <v>158</v>
      </c>
      <c r="FC24" s="59">
        <v>159</v>
      </c>
      <c r="FD24" s="45">
        <v>160</v>
      </c>
      <c r="FE24" s="59">
        <v>161</v>
      </c>
      <c r="FF24" s="45">
        <v>162</v>
      </c>
      <c r="FG24" s="59">
        <v>163</v>
      </c>
      <c r="FH24" s="45">
        <v>164</v>
      </c>
      <c r="FI24" s="59">
        <v>165</v>
      </c>
      <c r="FJ24" s="45">
        <v>166</v>
      </c>
      <c r="FK24" s="59">
        <v>167</v>
      </c>
      <c r="FL24" s="45">
        <v>168</v>
      </c>
      <c r="FM24" s="59">
        <v>169</v>
      </c>
      <c r="FN24" s="45">
        <v>170</v>
      </c>
      <c r="FO24" s="59">
        <v>171</v>
      </c>
      <c r="FP24" s="45">
        <v>172</v>
      </c>
      <c r="FQ24" s="59">
        <v>173</v>
      </c>
      <c r="FR24" s="45">
        <v>174</v>
      </c>
      <c r="FS24" s="59">
        <v>175</v>
      </c>
      <c r="FT24" s="45">
        <v>176</v>
      </c>
      <c r="FU24" s="59">
        <v>177</v>
      </c>
      <c r="FV24">
        <v>3</v>
      </c>
    </row>
    <row r="35" spans="152:153" x14ac:dyDescent="0.3">
      <c r="EV35" s="256"/>
      <c r="EW35" s="256"/>
    </row>
    <row r="36" spans="152:153" x14ac:dyDescent="0.3">
      <c r="EV36" s="256"/>
      <c r="EW36" s="256"/>
    </row>
    <row r="37" spans="152:153" x14ac:dyDescent="0.3">
      <c r="EV37" s="256"/>
      <c r="EW37" s="256"/>
    </row>
    <row r="38" spans="152:153" x14ac:dyDescent="0.3">
      <c r="EV38" s="256"/>
      <c r="EW38" s="256"/>
    </row>
    <row r="39" spans="152:153" x14ac:dyDescent="0.3">
      <c r="EV39" s="256"/>
      <c r="EW39" s="256"/>
    </row>
    <row r="40" spans="152:153" x14ac:dyDescent="0.3">
      <c r="EV40" s="256"/>
      <c r="EW40" s="256"/>
    </row>
    <row r="41" spans="152:153" x14ac:dyDescent="0.3">
      <c r="EV41" s="256"/>
      <c r="EW41" s="256"/>
    </row>
    <row r="49" spans="152:153" x14ac:dyDescent="0.3">
      <c r="EV49" s="256"/>
      <c r="EW49" s="256"/>
    </row>
    <row r="50" spans="152:153" x14ac:dyDescent="0.3">
      <c r="EV50" s="256"/>
      <c r="EW50" s="256"/>
    </row>
    <row r="51" spans="152:153" x14ac:dyDescent="0.3">
      <c r="EV51" s="256"/>
      <c r="EW51" s="256"/>
    </row>
  </sheetData>
  <mergeCells count="10">
    <mergeCell ref="EV41:EW41"/>
    <mergeCell ref="EV49:EW49"/>
    <mergeCell ref="EV50:EW50"/>
    <mergeCell ref="EV51:EW51"/>
    <mergeCell ref="EV35:EW35"/>
    <mergeCell ref="EV36:EW36"/>
    <mergeCell ref="EV37:EW37"/>
    <mergeCell ref="EV38:EW38"/>
    <mergeCell ref="EV39:EW39"/>
    <mergeCell ref="EV40:EW4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F120"/>
  <sheetViews>
    <sheetView zoomScale="93" zoomScaleNormal="93" workbookViewId="0">
      <selection sqref="A1:A2"/>
    </sheetView>
  </sheetViews>
  <sheetFormatPr defaultRowHeight="23.25" x14ac:dyDescent="0.25"/>
  <cols>
    <col min="1" max="1" width="17" style="45" customWidth="1"/>
    <col min="2" max="2" width="19.42578125" style="45" bestFit="1" customWidth="1"/>
    <col min="3" max="3" width="51.85546875" style="45" bestFit="1" customWidth="1"/>
    <col min="4" max="4" width="34" style="45" bestFit="1" customWidth="1"/>
    <col min="5" max="5" width="26.5703125" style="45" bestFit="1" customWidth="1"/>
    <col min="6" max="6" width="24.28515625" style="45" customWidth="1"/>
    <col min="7" max="7" width="27.140625" style="45" customWidth="1"/>
    <col min="8" max="8" width="24.5703125" style="45" customWidth="1"/>
    <col min="9" max="9" width="33.140625" style="45" customWidth="1"/>
    <col min="10" max="10" width="27.42578125" style="45" bestFit="1" customWidth="1"/>
    <col min="11" max="12" width="14.7109375" style="45" customWidth="1"/>
    <col min="13" max="13" width="14.7109375" style="112" customWidth="1"/>
    <col min="14" max="14" width="14.7109375" style="45" customWidth="1"/>
    <col min="15" max="15" width="16.5703125" style="45" customWidth="1"/>
    <col min="16" max="16" width="16.5703125" style="133" customWidth="1"/>
    <col min="17" max="17" width="16.5703125" style="55" customWidth="1"/>
    <col min="18" max="18" width="17.85546875" style="55" bestFit="1" customWidth="1"/>
    <col min="19" max="19" width="35.7109375" style="55" bestFit="1" customWidth="1"/>
    <col min="20" max="22" width="35.7109375" style="55" customWidth="1"/>
    <col min="23" max="24" width="33.85546875" style="55" customWidth="1"/>
    <col min="25" max="25" width="35.7109375" style="55" customWidth="1"/>
    <col min="26" max="26" width="33.85546875" style="55" customWidth="1"/>
    <col min="27" max="27" width="35.7109375" style="55" customWidth="1"/>
    <col min="28" max="29" width="37.5703125" style="55" customWidth="1"/>
    <col min="30" max="34" width="35.7109375" style="55" customWidth="1"/>
    <col min="35" max="37" width="37.5703125" style="55" customWidth="1"/>
    <col min="38" max="38" width="35.7109375" style="55" customWidth="1"/>
    <col min="39" max="39" width="37.5703125" style="55" customWidth="1"/>
    <col min="40" max="40" width="35" style="55" bestFit="1" customWidth="1"/>
    <col min="41" max="44" width="35" style="55" customWidth="1"/>
    <col min="45" max="45" width="35" style="55" bestFit="1" customWidth="1"/>
    <col min="46" max="46" width="35" style="55" customWidth="1"/>
    <col min="47" max="47" width="35" style="55" bestFit="1" customWidth="1"/>
    <col min="48" max="48" width="35" style="55" customWidth="1"/>
    <col min="49" max="49" width="32.85546875" style="55" bestFit="1" customWidth="1"/>
    <col min="50" max="50" width="32.85546875" style="55" customWidth="1"/>
    <col min="51" max="51" width="35" style="55" bestFit="1" customWidth="1"/>
    <col min="52" max="52" width="35" style="55" customWidth="1"/>
    <col min="53" max="53" width="32.85546875" style="55" bestFit="1" customWidth="1"/>
    <col min="54" max="54" width="32.85546875" style="55" customWidth="1"/>
    <col min="55" max="56" width="36.7109375" style="55" customWidth="1"/>
    <col min="57" max="57" width="36.7109375" style="55" bestFit="1" customWidth="1"/>
    <col min="58" max="58" width="36.7109375" style="55" customWidth="1"/>
    <col min="59" max="59" width="35" style="55" bestFit="1" customWidth="1"/>
    <col min="60" max="60" width="35" style="55" customWidth="1"/>
    <col min="61" max="61" width="35" style="55" bestFit="1" customWidth="1"/>
    <col min="62" max="62" width="35" style="55" customWidth="1"/>
    <col min="63" max="63" width="35" style="55" bestFit="1" customWidth="1"/>
    <col min="64" max="64" width="35" style="55" customWidth="1"/>
    <col min="65" max="65" width="35" style="55" bestFit="1" customWidth="1"/>
    <col min="66" max="66" width="35" style="55" customWidth="1"/>
    <col min="67" max="67" width="35" style="55" bestFit="1" customWidth="1"/>
    <col min="68" max="68" width="35" style="55" customWidth="1"/>
    <col min="69" max="69" width="35" style="55" bestFit="1" customWidth="1"/>
    <col min="70" max="70" width="35" style="55" customWidth="1"/>
    <col min="71" max="71" width="35" style="55" bestFit="1" customWidth="1"/>
    <col min="72" max="72" width="35" style="55" customWidth="1"/>
    <col min="73" max="73" width="36.7109375" style="55" bestFit="1" customWidth="1"/>
    <col min="74" max="74" width="36.7109375" style="55" customWidth="1"/>
    <col min="75" max="76" width="36.7109375" style="55" bestFit="1" customWidth="1"/>
    <col min="77" max="77" width="46.5703125" style="55" bestFit="1" customWidth="1"/>
    <col min="78" max="78" width="46.5703125" style="55" customWidth="1"/>
    <col min="79" max="79" width="36.7109375" style="55" bestFit="1" customWidth="1"/>
    <col min="80" max="80" width="36.7109375" style="55" customWidth="1"/>
    <col min="81" max="81" width="35" style="55" bestFit="1" customWidth="1"/>
    <col min="82" max="82" width="35" style="55" customWidth="1"/>
    <col min="83" max="84" width="35" style="55" bestFit="1" customWidth="1"/>
    <col min="85" max="85" width="42.7109375" style="55" bestFit="1" customWidth="1"/>
    <col min="86" max="86" width="36.7109375" style="55" bestFit="1" customWidth="1"/>
    <col min="87" max="87" width="35" style="55" bestFit="1" customWidth="1"/>
    <col min="88" max="88" width="44.85546875" style="55" bestFit="1" customWidth="1"/>
    <col min="89" max="94" width="36.7109375" style="55" bestFit="1" customWidth="1"/>
    <col min="95" max="95" width="36.7109375" style="55" customWidth="1"/>
    <col min="96" max="99" width="36.7109375" style="55" bestFit="1" customWidth="1"/>
    <col min="100" max="100" width="35" style="55" bestFit="1" customWidth="1"/>
    <col min="101" max="111" width="36.7109375" style="55" bestFit="1" customWidth="1"/>
    <col min="112" max="112" width="42.7109375" style="55" bestFit="1" customWidth="1"/>
    <col min="113" max="113" width="35" style="55" bestFit="1" customWidth="1"/>
    <col min="114" max="114" width="44.85546875" style="55" bestFit="1" customWidth="1"/>
    <col min="115" max="115" width="36.7109375" style="55" bestFit="1" customWidth="1"/>
    <col min="116" max="118" width="35" style="55" bestFit="1" customWidth="1"/>
    <col min="119" max="119" width="36.7109375" style="55" bestFit="1" customWidth="1"/>
    <col min="120" max="121" width="44.85546875" style="55" bestFit="1" customWidth="1"/>
    <col min="122" max="122" width="35" style="55" bestFit="1" customWidth="1"/>
    <col min="123" max="125" width="31.140625" style="83" bestFit="1" customWidth="1"/>
    <col min="126" max="126" width="29.42578125" style="83" bestFit="1" customWidth="1"/>
    <col min="127" max="127" width="29.42578125" style="131" customWidth="1"/>
    <col min="128" max="128" width="31.140625" style="83" bestFit="1" customWidth="1"/>
    <col min="129" max="129" width="29.42578125" style="83" bestFit="1" customWidth="1"/>
    <col min="130" max="131" width="31.140625" style="83" bestFit="1" customWidth="1"/>
    <col min="132" max="132" width="32.7109375" style="83" bestFit="1" customWidth="1"/>
    <col min="133" max="133" width="31.140625" style="83" bestFit="1" customWidth="1"/>
    <col min="134" max="134" width="31.140625" style="131" customWidth="1"/>
    <col min="135" max="135" width="32.7109375" style="83" bestFit="1" customWidth="1"/>
    <col min="136" max="136" width="32.7109375" style="131" customWidth="1"/>
    <col min="137" max="139" width="32.7109375" style="83" bestFit="1" customWidth="1"/>
    <col min="140" max="140" width="32.7109375" style="131" customWidth="1"/>
    <col min="141" max="141" width="32.7109375" style="83" bestFit="1" customWidth="1"/>
    <col min="142" max="142" width="32.7109375" style="131" customWidth="1"/>
    <col min="143" max="147" width="32.7109375" style="83" bestFit="1" customWidth="1"/>
    <col min="148" max="148" width="31.140625" style="83" bestFit="1" customWidth="1"/>
    <col min="149" max="149" width="32.7109375" style="83" bestFit="1" customWidth="1"/>
    <col min="150" max="151" width="38" style="83" bestFit="1" customWidth="1"/>
    <col min="152" max="153" width="32.7109375" style="83" bestFit="1" customWidth="1"/>
    <col min="154" max="154" width="32.7109375" style="131" customWidth="1"/>
    <col min="155" max="155" width="32.7109375" style="83" bestFit="1" customWidth="1"/>
    <col min="156" max="156" width="38" style="83" bestFit="1" customWidth="1"/>
    <col min="157" max="158" width="36.42578125" style="83" bestFit="1" customWidth="1"/>
    <col min="159" max="159" width="41.7109375" style="83" bestFit="1" customWidth="1"/>
    <col min="160" max="161" width="43.42578125" style="83" bestFit="1" customWidth="1"/>
    <col min="162" max="16384" width="9.140625" style="55"/>
  </cols>
  <sheetData>
    <row r="1" spans="1:162" s="50" customFormat="1" x14ac:dyDescent="0.35">
      <c r="A1" s="259" t="s">
        <v>115</v>
      </c>
      <c r="B1" s="257" t="s">
        <v>116</v>
      </c>
      <c r="C1" s="257" t="s">
        <v>117</v>
      </c>
      <c r="D1" s="257" t="s">
        <v>54</v>
      </c>
      <c r="E1" s="257" t="s">
        <v>118</v>
      </c>
      <c r="F1" s="257" t="s">
        <v>119</v>
      </c>
      <c r="G1" s="257" t="s">
        <v>120</v>
      </c>
      <c r="H1" s="257" t="s">
        <v>121</v>
      </c>
      <c r="I1" s="257" t="s">
        <v>122</v>
      </c>
      <c r="J1" s="257" t="s">
        <v>123</v>
      </c>
      <c r="K1" s="120" t="s">
        <v>456</v>
      </c>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120"/>
      <c r="CG1" s="120"/>
      <c r="CH1" s="120"/>
      <c r="CI1" s="120"/>
      <c r="CJ1" s="120"/>
      <c r="CK1" s="120"/>
      <c r="CL1" s="120"/>
      <c r="CM1" s="120"/>
      <c r="CN1" s="120"/>
      <c r="CO1" s="120"/>
      <c r="CP1" s="120"/>
      <c r="CQ1" s="120"/>
      <c r="CR1" s="120"/>
      <c r="CS1" s="120"/>
      <c r="CT1" s="120"/>
      <c r="CU1" s="120"/>
      <c r="CV1" s="120"/>
      <c r="CW1" s="120"/>
      <c r="CX1" s="120"/>
      <c r="CY1" s="120"/>
      <c r="CZ1" s="120"/>
      <c r="DA1" s="120"/>
      <c r="DB1" s="120"/>
      <c r="DC1" s="120"/>
      <c r="DD1" s="120"/>
      <c r="DE1" s="120"/>
      <c r="DF1" s="120"/>
      <c r="DG1" s="120"/>
      <c r="DH1" s="120"/>
      <c r="DI1" s="120"/>
      <c r="DJ1" s="120"/>
      <c r="DK1" s="120"/>
      <c r="DL1" s="120"/>
      <c r="DM1" s="120"/>
      <c r="DN1" s="120"/>
      <c r="DO1" s="120"/>
      <c r="DP1" s="120"/>
      <c r="DQ1" s="120"/>
      <c r="DR1" s="121"/>
    </row>
    <row r="2" spans="1:162" s="50" customFormat="1" x14ac:dyDescent="0.35">
      <c r="A2" s="260"/>
      <c r="B2" s="258"/>
      <c r="C2" s="258"/>
      <c r="D2" s="258"/>
      <c r="E2" s="258"/>
      <c r="F2" s="258"/>
      <c r="G2" s="258"/>
      <c r="H2" s="258"/>
      <c r="I2" s="258"/>
      <c r="J2" s="258"/>
      <c r="K2" s="51" t="s">
        <v>341</v>
      </c>
      <c r="L2" s="51" t="s">
        <v>342</v>
      </c>
      <c r="M2" s="51"/>
      <c r="N2" s="51" t="s">
        <v>343</v>
      </c>
      <c r="O2" s="51" t="s">
        <v>345</v>
      </c>
      <c r="P2" s="51"/>
      <c r="Q2" s="51" t="s">
        <v>346</v>
      </c>
      <c r="R2" s="51" t="s">
        <v>155</v>
      </c>
      <c r="S2" s="52" t="s">
        <v>347</v>
      </c>
      <c r="T2" s="51" t="s">
        <v>348</v>
      </c>
      <c r="U2" s="51" t="s">
        <v>349</v>
      </c>
      <c r="V2" s="51" t="s">
        <v>350</v>
      </c>
      <c r="W2" s="51" t="s">
        <v>351</v>
      </c>
      <c r="X2" s="51" t="s">
        <v>352</v>
      </c>
      <c r="Y2" s="51" t="s">
        <v>353</v>
      </c>
      <c r="Z2" s="51" t="s">
        <v>354</v>
      </c>
      <c r="AA2" s="51" t="s">
        <v>355</v>
      </c>
      <c r="AB2" s="51" t="s">
        <v>356</v>
      </c>
      <c r="AC2" s="51" t="s">
        <v>357</v>
      </c>
      <c r="AD2" s="51" t="s">
        <v>358</v>
      </c>
      <c r="AE2" s="51" t="s">
        <v>359</v>
      </c>
      <c r="AF2" s="51" t="s">
        <v>360</v>
      </c>
      <c r="AG2" s="51" t="s">
        <v>361</v>
      </c>
      <c r="AH2" s="51" t="s">
        <v>362</v>
      </c>
      <c r="AI2" s="51" t="s">
        <v>363</v>
      </c>
      <c r="AJ2" s="51" t="s">
        <v>364</v>
      </c>
      <c r="AK2" s="51" t="s">
        <v>365</v>
      </c>
      <c r="AL2" s="51" t="s">
        <v>366</v>
      </c>
      <c r="AM2" s="51" t="s">
        <v>367</v>
      </c>
      <c r="AN2" s="51" t="s">
        <v>376</v>
      </c>
      <c r="AO2" s="51"/>
      <c r="AP2" s="51"/>
      <c r="AQ2" s="51" t="s">
        <v>377</v>
      </c>
      <c r="AR2" s="51"/>
      <c r="AS2" s="51" t="s">
        <v>378</v>
      </c>
      <c r="AT2" s="51"/>
      <c r="AU2" s="51" t="s">
        <v>379</v>
      </c>
      <c r="AV2" s="51"/>
      <c r="AW2" s="51" t="s">
        <v>380</v>
      </c>
      <c r="AX2" s="51"/>
      <c r="AY2" s="51" t="s">
        <v>381</v>
      </c>
      <c r="AZ2" s="51"/>
      <c r="BA2" s="51" t="s">
        <v>382</v>
      </c>
      <c r="BB2" s="51"/>
      <c r="BC2" s="51" t="s">
        <v>383</v>
      </c>
      <c r="BD2" s="51"/>
      <c r="BE2" s="51" t="s">
        <v>384</v>
      </c>
      <c r="BF2" s="51"/>
      <c r="BG2" s="51" t="s">
        <v>385</v>
      </c>
      <c r="BH2" s="51"/>
      <c r="BI2" s="51" t="s">
        <v>386</v>
      </c>
      <c r="BJ2" s="51"/>
      <c r="BK2" s="51" t="s">
        <v>387</v>
      </c>
      <c r="BL2" s="51"/>
      <c r="BM2" s="51" t="s">
        <v>388</v>
      </c>
      <c r="BN2" s="51"/>
      <c r="BO2" s="51" t="s">
        <v>389</v>
      </c>
      <c r="BP2" s="51"/>
      <c r="BQ2" s="51" t="s">
        <v>390</v>
      </c>
      <c r="BR2" s="51"/>
      <c r="BS2" s="51" t="s">
        <v>391</v>
      </c>
      <c r="BT2" s="51"/>
      <c r="BU2" s="51" t="s">
        <v>392</v>
      </c>
      <c r="BV2" s="51"/>
      <c r="BW2" s="51" t="s">
        <v>393</v>
      </c>
      <c r="BX2" s="51" t="s">
        <v>394</v>
      </c>
      <c r="BY2" s="51" t="s">
        <v>457</v>
      </c>
      <c r="BZ2" s="51" t="s">
        <v>458</v>
      </c>
      <c r="CA2" s="51" t="s">
        <v>395</v>
      </c>
      <c r="CB2" s="51"/>
      <c r="CC2" s="51" t="s">
        <v>396</v>
      </c>
      <c r="CD2" s="51"/>
      <c r="CE2" s="51" t="s">
        <v>397</v>
      </c>
      <c r="CF2" s="51" t="s">
        <v>398</v>
      </c>
      <c r="CG2" s="51" t="s">
        <v>459</v>
      </c>
      <c r="CH2" s="51" t="s">
        <v>399</v>
      </c>
      <c r="CI2" s="51" t="s">
        <v>400</v>
      </c>
      <c r="CJ2" s="51" t="s">
        <v>460</v>
      </c>
      <c r="CK2" s="51" t="s">
        <v>401</v>
      </c>
      <c r="CL2" s="51" t="s">
        <v>402</v>
      </c>
      <c r="CM2" s="51" t="s">
        <v>403</v>
      </c>
      <c r="CN2" s="51" t="s">
        <v>404</v>
      </c>
      <c r="CO2" s="51" t="s">
        <v>405</v>
      </c>
      <c r="CP2" s="51" t="s">
        <v>406</v>
      </c>
      <c r="CQ2" s="51" t="s">
        <v>407</v>
      </c>
      <c r="CR2" s="51" t="s">
        <v>408</v>
      </c>
      <c r="CS2" s="51" t="s">
        <v>409</v>
      </c>
      <c r="CT2" s="51" t="s">
        <v>410</v>
      </c>
      <c r="CU2" s="51" t="s">
        <v>411</v>
      </c>
      <c r="CV2" s="51" t="s">
        <v>412</v>
      </c>
      <c r="CW2" s="51" t="s">
        <v>413</v>
      </c>
      <c r="CX2" s="51" t="s">
        <v>414</v>
      </c>
      <c r="CY2" s="51" t="s">
        <v>415</v>
      </c>
      <c r="CZ2" s="51" t="s">
        <v>416</v>
      </c>
      <c r="DA2" s="51" t="s">
        <v>417</v>
      </c>
      <c r="DB2" s="51" t="s">
        <v>418</v>
      </c>
      <c r="DC2" s="51" t="s">
        <v>419</v>
      </c>
      <c r="DD2" s="51" t="s">
        <v>420</v>
      </c>
      <c r="DE2" s="51" t="s">
        <v>421</v>
      </c>
      <c r="DF2" s="51" t="s">
        <v>422</v>
      </c>
      <c r="DG2" s="51" t="s">
        <v>423</v>
      </c>
      <c r="DH2" s="51" t="s">
        <v>461</v>
      </c>
      <c r="DI2" s="51" t="s">
        <v>424</v>
      </c>
      <c r="DJ2" s="51" t="s">
        <v>462</v>
      </c>
      <c r="DK2" s="51" t="s">
        <v>425</v>
      </c>
      <c r="DL2" s="51" t="s">
        <v>426</v>
      </c>
      <c r="DM2" s="51" t="s">
        <v>427</v>
      </c>
      <c r="DN2" s="51" t="s">
        <v>428</v>
      </c>
      <c r="DO2" s="51" t="s">
        <v>429</v>
      </c>
      <c r="DP2" s="51" t="s">
        <v>463</v>
      </c>
      <c r="DQ2" s="51" t="s">
        <v>464</v>
      </c>
      <c r="DR2" s="53" t="s">
        <v>430</v>
      </c>
      <c r="DS2" s="62" t="s">
        <v>431</v>
      </c>
      <c r="DT2" s="62" t="s">
        <v>432</v>
      </c>
      <c r="DU2" s="62" t="s">
        <v>433</v>
      </c>
      <c r="DV2" s="62" t="s">
        <v>434</v>
      </c>
      <c r="DW2" s="62"/>
      <c r="DX2" s="62" t="s">
        <v>435</v>
      </c>
      <c r="DY2" s="62" t="s">
        <v>436</v>
      </c>
      <c r="DZ2" s="62" t="s">
        <v>437</v>
      </c>
      <c r="EA2" s="62" t="s">
        <v>438</v>
      </c>
      <c r="EB2" s="62" t="s">
        <v>439</v>
      </c>
      <c r="EC2" s="62" t="s">
        <v>440</v>
      </c>
      <c r="ED2" s="62"/>
      <c r="EE2" s="62" t="s">
        <v>441</v>
      </c>
      <c r="EF2" s="62"/>
      <c r="EG2" s="62" t="s">
        <v>442</v>
      </c>
      <c r="EH2" s="62" t="s">
        <v>443</v>
      </c>
      <c r="EI2" s="62" t="s">
        <v>444</v>
      </c>
      <c r="EJ2" s="62"/>
      <c r="EK2" s="62" t="s">
        <v>445</v>
      </c>
      <c r="EL2" s="62"/>
      <c r="EM2" s="62" t="s">
        <v>446</v>
      </c>
      <c r="EN2" s="62" t="s">
        <v>447</v>
      </c>
      <c r="EO2" s="62" t="s">
        <v>448</v>
      </c>
      <c r="EP2" s="62" t="s">
        <v>449</v>
      </c>
      <c r="EQ2" s="62" t="s">
        <v>450</v>
      </c>
      <c r="ER2" s="62" t="s">
        <v>451</v>
      </c>
      <c r="ES2" s="62" t="s">
        <v>452</v>
      </c>
      <c r="ET2" s="62" t="s">
        <v>465</v>
      </c>
      <c r="EU2" s="62" t="s">
        <v>466</v>
      </c>
      <c r="EV2" s="62" t="s">
        <v>453</v>
      </c>
      <c r="EW2" s="62" t="s">
        <v>454</v>
      </c>
      <c r="EX2" s="62" t="s">
        <v>454</v>
      </c>
      <c r="EY2" s="62" t="s">
        <v>455</v>
      </c>
      <c r="EZ2" s="62" t="s">
        <v>467</v>
      </c>
      <c r="FA2" s="62" t="s">
        <v>468</v>
      </c>
      <c r="FB2" s="62" t="s">
        <v>469</v>
      </c>
      <c r="FC2" s="62" t="s">
        <v>470</v>
      </c>
      <c r="FD2" s="62" t="s">
        <v>471</v>
      </c>
      <c r="FE2" s="62" t="s">
        <v>472</v>
      </c>
    </row>
    <row r="3" spans="1:162" x14ac:dyDescent="0.25">
      <c r="A3" s="55">
        <v>35305519</v>
      </c>
      <c r="B3" s="55" t="s">
        <v>242</v>
      </c>
      <c r="C3" s="85" t="s">
        <v>243</v>
      </c>
      <c r="D3" s="55" t="s">
        <v>242</v>
      </c>
      <c r="E3" s="55" t="s">
        <v>29</v>
      </c>
      <c r="F3" s="55"/>
      <c r="G3" s="55" t="s">
        <v>66</v>
      </c>
      <c r="H3" s="55" t="s">
        <v>198</v>
      </c>
      <c r="I3" s="55" t="s">
        <v>198</v>
      </c>
      <c r="J3" s="55" t="s">
        <v>198</v>
      </c>
      <c r="K3" s="55"/>
      <c r="L3" s="55" t="s">
        <v>156</v>
      </c>
      <c r="M3" s="55" t="str">
        <f>L$2</f>
        <v>G-800</v>
      </c>
      <c r="N3" s="55"/>
      <c r="O3" s="55" t="s">
        <v>156</v>
      </c>
      <c r="P3" s="55" t="str">
        <f>O$2</f>
        <v>G-1800</v>
      </c>
      <c r="U3" s="55" t="s">
        <v>156</v>
      </c>
      <c r="AA3" s="55" t="s">
        <v>156</v>
      </c>
      <c r="AN3" s="55" t="s">
        <v>156</v>
      </c>
      <c r="AO3" s="55" t="str">
        <f>AN$2</f>
        <v>L-1 (2100)</v>
      </c>
      <c r="AQ3" s="55" t="s">
        <v>156</v>
      </c>
      <c r="AR3" s="55" t="str">
        <f>AQ$2</f>
        <v>L-2 (1900)</v>
      </c>
      <c r="AS3" s="55" t="s">
        <v>156</v>
      </c>
      <c r="AT3" s="55" t="str">
        <f>AS$2</f>
        <v>L-3 (1800)</v>
      </c>
      <c r="AU3" s="55" t="s">
        <v>156</v>
      </c>
      <c r="AV3" s="55" t="str">
        <f>AU$2</f>
        <v>L-4 (1700)</v>
      </c>
      <c r="AW3" s="55" t="s">
        <v>156</v>
      </c>
      <c r="AX3" s="55" t="str">
        <f>AW$2</f>
        <v>L-5 (850)</v>
      </c>
      <c r="AY3" s="55" t="s">
        <v>156</v>
      </c>
      <c r="BA3" s="55" t="s">
        <v>156</v>
      </c>
      <c r="BB3" s="55" t="str">
        <f>BA$2</f>
        <v>L-8 (900)</v>
      </c>
      <c r="BC3" s="55" t="s">
        <v>156</v>
      </c>
      <c r="BD3" s="55" t="str">
        <f>BC$2</f>
        <v>L-10 (1700)</v>
      </c>
      <c r="BG3" s="55" t="s">
        <v>156</v>
      </c>
      <c r="BH3" s="55" t="str">
        <f t="shared" ref="BH3:BH8" si="0">BG$2</f>
        <v>L-12 (700)</v>
      </c>
      <c r="DV3" s="132" t="s">
        <v>156</v>
      </c>
      <c r="DW3" s="55" t="str">
        <f>DV$2</f>
        <v>NR-n5(850)</v>
      </c>
      <c r="EC3" s="132" t="s">
        <v>156</v>
      </c>
      <c r="ED3" s="55" t="str">
        <f>EC$2</f>
        <v>NR-n28(700)</v>
      </c>
      <c r="EE3" s="132" t="s">
        <v>156</v>
      </c>
      <c r="EF3" s="55" t="str">
        <f>EE$2</f>
        <v>NR-n34(2100)</v>
      </c>
      <c r="EI3" s="132" t="s">
        <v>156</v>
      </c>
      <c r="EJ3" s="55" t="str">
        <f>EI$2</f>
        <v>NR-n40(2300)</v>
      </c>
      <c r="EK3" s="132" t="s">
        <v>156</v>
      </c>
      <c r="EL3" s="55" t="str">
        <f>EK$2</f>
        <v>NR-n41(2500)</v>
      </c>
      <c r="EW3" s="132" t="s">
        <v>156</v>
      </c>
      <c r="EX3" s="55" t="str">
        <f t="shared" ref="EX3:EX7" si="1">EW$2</f>
        <v>NR-n78(3500)</v>
      </c>
      <c r="FF3" s="144" t="str">
        <f>CONCATENATE(AO3,",",AR3,",",AT3,",",AV3,",",AX3,",",AZ3,",",BB3,",",DW3,",",ED3,",",EF3,",",EJ3,",",EL3,",",EX3)</f>
        <v>L-1 (2100),L-2 (1900),L-3 (1800),L-4 (1700),L-5 (850),,L-8 (900),NR-n5(850),NR-n28(700),NR-n34(2100),NR-n40(2300),NR-n41(2500),NR-n78(3500)</v>
      </c>
    </row>
    <row r="4" spans="1:162" x14ac:dyDescent="0.25">
      <c r="A4" s="55">
        <v>35305520</v>
      </c>
      <c r="B4" s="55" t="s">
        <v>242</v>
      </c>
      <c r="C4" s="55" t="s">
        <v>244</v>
      </c>
      <c r="D4" s="55" t="s">
        <v>242</v>
      </c>
      <c r="E4" s="55" t="s">
        <v>29</v>
      </c>
      <c r="F4" s="54" t="s">
        <v>176</v>
      </c>
      <c r="G4" s="55" t="s">
        <v>66</v>
      </c>
      <c r="H4" s="55" t="s">
        <v>198</v>
      </c>
      <c r="I4" s="55" t="s">
        <v>198</v>
      </c>
      <c r="J4" s="55" t="s">
        <v>198</v>
      </c>
      <c r="K4" s="55"/>
      <c r="L4" s="55" t="s">
        <v>156</v>
      </c>
      <c r="M4" s="55" t="str">
        <f t="shared" ref="M4:M7" si="2">L$2</f>
        <v>G-800</v>
      </c>
      <c r="N4" s="55"/>
      <c r="O4" s="55" t="s">
        <v>156</v>
      </c>
      <c r="P4" s="55" t="str">
        <f t="shared" ref="P4:P7" si="3">O$2</f>
        <v>G-1800</v>
      </c>
      <c r="AO4" s="55" t="str">
        <f t="shared" ref="AO4:AO8" si="4">AN$2</f>
        <v>L-1 (2100)</v>
      </c>
      <c r="AR4" s="55" t="str">
        <f t="shared" ref="AR4:AR8" si="5">AQ$2</f>
        <v>L-2 (1900)</v>
      </c>
      <c r="AT4" s="55" t="str">
        <f t="shared" ref="AT4:AT8" si="6">AS$2</f>
        <v>L-3 (1800)</v>
      </c>
      <c r="AV4" s="55" t="str">
        <f t="shared" ref="AV4:AV8" si="7">AU$2</f>
        <v>L-4 (1700)</v>
      </c>
      <c r="AX4" s="55" t="str">
        <f t="shared" ref="AX4:AX8" si="8">AW$2</f>
        <v>L-5 (850)</v>
      </c>
      <c r="BB4" s="55" t="str">
        <f t="shared" ref="BB4:BB8" si="9">BA$2</f>
        <v>L-8 (900)</v>
      </c>
      <c r="BD4" s="55" t="str">
        <f t="shared" ref="BD4:BD8" si="10">BC$2</f>
        <v>L-10 (1700)</v>
      </c>
      <c r="BH4" s="55" t="str">
        <f t="shared" si="0"/>
        <v>L-12 (700)</v>
      </c>
      <c r="DV4" s="132" t="s">
        <v>156</v>
      </c>
      <c r="DW4" s="55" t="str">
        <f t="shared" ref="DW4:DW9" si="11">DV$2</f>
        <v>NR-n5(850)</v>
      </c>
      <c r="EC4" s="132" t="s">
        <v>156</v>
      </c>
      <c r="ED4" s="55" t="str">
        <f t="shared" ref="ED4:ED9" si="12">EC$2</f>
        <v>NR-n28(700)</v>
      </c>
      <c r="EE4" s="132" t="s">
        <v>156</v>
      </c>
      <c r="EF4" s="55" t="str">
        <f t="shared" ref="EF4:EF9" si="13">EE$2</f>
        <v>NR-n34(2100)</v>
      </c>
      <c r="EI4" s="132" t="s">
        <v>156</v>
      </c>
      <c r="EJ4" s="55" t="str">
        <f t="shared" ref="EJ4:EJ9" si="14">EI$2</f>
        <v>NR-n40(2300)</v>
      </c>
      <c r="EK4" s="132" t="s">
        <v>156</v>
      </c>
      <c r="EL4" s="55" t="str">
        <f t="shared" ref="EL4:EL9" si="15">EK$2</f>
        <v>NR-n41(2500)</v>
      </c>
      <c r="EW4" s="132" t="s">
        <v>156</v>
      </c>
      <c r="EX4" s="55" t="str">
        <f t="shared" si="1"/>
        <v>NR-n78(3500)</v>
      </c>
      <c r="FF4" s="144" t="str">
        <f t="shared" ref="FF4:FF10" si="16">CONCATENATE(AO4,",",AR4,",",AT4,",",AV4,",",AX4,",",AZ4,",",BB4,",",DW4,",",ED4,",",EF4,",",EJ4,",",EL4,",",EX4)</f>
        <v>L-1 (2100),L-2 (1900),L-3 (1800),L-4 (1700),L-5 (850),,L-8 (900),NR-n5(850),NR-n28(700),NR-n34(2100),NR-n40(2300),NR-n41(2500),NR-n78(3500)</v>
      </c>
    </row>
    <row r="5" spans="1:162" ht="43.5" customHeight="1" x14ac:dyDescent="0.25">
      <c r="A5" s="55">
        <v>35516436</v>
      </c>
      <c r="B5" s="55" t="s">
        <v>194</v>
      </c>
      <c r="C5" s="55" t="s">
        <v>248</v>
      </c>
      <c r="D5" s="55" t="s">
        <v>194</v>
      </c>
      <c r="E5" s="55" t="s">
        <v>33</v>
      </c>
      <c r="G5" s="55" t="s">
        <v>181</v>
      </c>
      <c r="H5" s="55" t="s">
        <v>198</v>
      </c>
      <c r="I5" s="55" t="s">
        <v>156</v>
      </c>
      <c r="J5" s="55" t="s">
        <v>156</v>
      </c>
      <c r="K5" s="55"/>
      <c r="L5" s="55" t="s">
        <v>156</v>
      </c>
      <c r="M5" s="55" t="str">
        <f t="shared" si="2"/>
        <v>G-800</v>
      </c>
      <c r="N5" s="55"/>
      <c r="O5" s="55" t="s">
        <v>156</v>
      </c>
      <c r="P5" s="55" t="str">
        <f t="shared" si="3"/>
        <v>G-1800</v>
      </c>
      <c r="AN5" s="55" t="s">
        <v>156</v>
      </c>
      <c r="AO5" s="55" t="str">
        <f t="shared" si="4"/>
        <v>L-1 (2100)</v>
      </c>
      <c r="AQ5" s="55" t="s">
        <v>156</v>
      </c>
      <c r="AR5" s="55" t="str">
        <f t="shared" si="5"/>
        <v>L-2 (1900)</v>
      </c>
      <c r="AS5" s="55" t="s">
        <v>156</v>
      </c>
      <c r="AT5" s="55" t="str">
        <f t="shared" si="6"/>
        <v>L-3 (1800)</v>
      </c>
      <c r="AU5" s="55" t="s">
        <v>156</v>
      </c>
      <c r="AV5" s="55" t="str">
        <f t="shared" si="7"/>
        <v>L-4 (1700)</v>
      </c>
      <c r="AW5" s="55" t="s">
        <v>156</v>
      </c>
      <c r="AX5" s="55" t="str">
        <f t="shared" si="8"/>
        <v>L-5 (850)</v>
      </c>
      <c r="BA5" s="55" t="s">
        <v>156</v>
      </c>
      <c r="BB5" s="55" t="str">
        <f t="shared" si="9"/>
        <v>L-8 (900)</v>
      </c>
      <c r="BC5" s="55" t="s">
        <v>156</v>
      </c>
      <c r="BD5" s="55" t="str">
        <f t="shared" si="10"/>
        <v>L-10 (1700)</v>
      </c>
      <c r="BE5" s="55" t="s">
        <v>156</v>
      </c>
      <c r="BG5" s="55" t="s">
        <v>156</v>
      </c>
      <c r="BH5" s="55" t="str">
        <f t="shared" si="0"/>
        <v>L-12 (700)</v>
      </c>
      <c r="BI5" s="55" t="s">
        <v>156</v>
      </c>
      <c r="BK5" s="55" t="s">
        <v>156</v>
      </c>
      <c r="BM5" s="55" t="s">
        <v>156</v>
      </c>
      <c r="BO5" s="55" t="s">
        <v>156</v>
      </c>
      <c r="BQ5" s="55" t="s">
        <v>156</v>
      </c>
      <c r="BS5" s="55" t="s">
        <v>156</v>
      </c>
      <c r="BU5" s="55" t="s">
        <v>156</v>
      </c>
      <c r="CA5" s="55" t="s">
        <v>156</v>
      </c>
      <c r="CC5" s="55" t="s">
        <v>156</v>
      </c>
      <c r="CF5" s="55" t="s">
        <v>156</v>
      </c>
      <c r="CH5" s="55" t="s">
        <v>156</v>
      </c>
      <c r="CL5" s="55" t="s">
        <v>156</v>
      </c>
      <c r="CP5" s="55" t="s">
        <v>156</v>
      </c>
      <c r="CR5" s="55" t="s">
        <v>156</v>
      </c>
      <c r="CS5" s="55" t="s">
        <v>156</v>
      </c>
      <c r="CT5" s="55" t="s">
        <v>156</v>
      </c>
      <c r="CX5" s="55" t="s">
        <v>156</v>
      </c>
      <c r="DG5" s="55" t="s">
        <v>156</v>
      </c>
      <c r="DL5" s="55" t="s">
        <v>156</v>
      </c>
      <c r="DV5" s="132" t="s">
        <v>156</v>
      </c>
      <c r="DW5" s="55" t="str">
        <f t="shared" si="11"/>
        <v>NR-n5(850)</v>
      </c>
      <c r="EC5" s="132" t="s">
        <v>156</v>
      </c>
      <c r="ED5" s="55" t="str">
        <f t="shared" si="12"/>
        <v>NR-n28(700)</v>
      </c>
      <c r="EE5" s="132" t="s">
        <v>156</v>
      </c>
      <c r="EF5" s="55" t="str">
        <f t="shared" si="13"/>
        <v>NR-n34(2100)</v>
      </c>
      <c r="EI5" s="132" t="s">
        <v>156</v>
      </c>
      <c r="EJ5" s="55" t="str">
        <f t="shared" si="14"/>
        <v>NR-n40(2300)</v>
      </c>
      <c r="EK5" s="132" t="s">
        <v>156</v>
      </c>
      <c r="EL5" s="55" t="str">
        <f t="shared" si="15"/>
        <v>NR-n41(2500)</v>
      </c>
      <c r="EW5" s="132" t="s">
        <v>156</v>
      </c>
      <c r="EX5" s="55" t="str">
        <f t="shared" si="1"/>
        <v>NR-n78(3500)</v>
      </c>
      <c r="FF5" s="144" t="str">
        <f t="shared" si="16"/>
        <v>L-1 (2100),L-2 (1900),L-3 (1800),L-4 (1700),L-5 (850),,L-8 (900),NR-n5(850),NR-n28(700),NR-n34(2100),NR-n40(2300),NR-n41(2500),NR-n78(3500)</v>
      </c>
    </row>
    <row r="6" spans="1:162" ht="45.75" customHeight="1" x14ac:dyDescent="0.25">
      <c r="A6" s="55">
        <v>35121643</v>
      </c>
      <c r="B6" s="55" t="s">
        <v>195</v>
      </c>
      <c r="C6" s="55" t="s">
        <v>249</v>
      </c>
      <c r="D6" s="55" t="s">
        <v>246</v>
      </c>
      <c r="E6" s="55" t="s">
        <v>33</v>
      </c>
      <c r="F6" s="54" t="s">
        <v>176</v>
      </c>
      <c r="G6" s="55" t="s">
        <v>181</v>
      </c>
      <c r="H6" s="55" t="s">
        <v>198</v>
      </c>
      <c r="I6" s="55" t="s">
        <v>156</v>
      </c>
      <c r="J6" s="55" t="s">
        <v>156</v>
      </c>
      <c r="K6" s="55"/>
      <c r="L6" s="55" t="s">
        <v>156</v>
      </c>
      <c r="M6" s="55" t="str">
        <f t="shared" si="2"/>
        <v>G-800</v>
      </c>
      <c r="N6" s="55"/>
      <c r="O6" s="55" t="s">
        <v>156</v>
      </c>
      <c r="P6" s="55" t="str">
        <f t="shared" si="3"/>
        <v>G-1800</v>
      </c>
      <c r="AN6" s="55" t="s">
        <v>156</v>
      </c>
      <c r="AO6" s="55" t="str">
        <f t="shared" si="4"/>
        <v>L-1 (2100)</v>
      </c>
      <c r="AQ6" s="55" t="s">
        <v>156</v>
      </c>
      <c r="AR6" s="55" t="str">
        <f t="shared" si="5"/>
        <v>L-2 (1900)</v>
      </c>
      <c r="AS6" s="55" t="s">
        <v>156</v>
      </c>
      <c r="AT6" s="55" t="str">
        <f t="shared" si="6"/>
        <v>L-3 (1800)</v>
      </c>
      <c r="AU6" s="55" t="s">
        <v>156</v>
      </c>
      <c r="AV6" s="55" t="str">
        <f t="shared" si="7"/>
        <v>L-4 (1700)</v>
      </c>
      <c r="AW6" s="55" t="s">
        <v>156</v>
      </c>
      <c r="AX6" s="55" t="str">
        <f t="shared" si="8"/>
        <v>L-5 (850)</v>
      </c>
      <c r="BA6" s="55" t="s">
        <v>156</v>
      </c>
      <c r="BB6" s="55" t="str">
        <f t="shared" si="9"/>
        <v>L-8 (900)</v>
      </c>
      <c r="BC6" s="55" t="s">
        <v>156</v>
      </c>
      <c r="BD6" s="55" t="str">
        <f t="shared" si="10"/>
        <v>L-10 (1700)</v>
      </c>
      <c r="BE6" s="55" t="s">
        <v>156</v>
      </c>
      <c r="BG6" s="55" t="s">
        <v>156</v>
      </c>
      <c r="BH6" s="55" t="str">
        <f t="shared" si="0"/>
        <v>L-12 (700)</v>
      </c>
      <c r="BI6" s="55" t="s">
        <v>156</v>
      </c>
      <c r="BK6" s="55" t="s">
        <v>156</v>
      </c>
      <c r="BM6" s="55" t="s">
        <v>156</v>
      </c>
      <c r="BO6" s="55" t="s">
        <v>156</v>
      </c>
      <c r="BQ6" s="55" t="s">
        <v>156</v>
      </c>
      <c r="BS6" s="55" t="s">
        <v>156</v>
      </c>
      <c r="BU6" s="55" t="s">
        <v>156</v>
      </c>
      <c r="CA6" s="55" t="s">
        <v>156</v>
      </c>
      <c r="CC6" s="55" t="s">
        <v>156</v>
      </c>
      <c r="CF6" s="55" t="s">
        <v>156</v>
      </c>
      <c r="CH6" s="55" t="s">
        <v>156</v>
      </c>
      <c r="CL6" s="55" t="s">
        <v>156</v>
      </c>
      <c r="CP6" s="55" t="s">
        <v>156</v>
      </c>
      <c r="CR6" s="55" t="s">
        <v>156</v>
      </c>
      <c r="CS6" s="55" t="s">
        <v>156</v>
      </c>
      <c r="CT6" s="55" t="s">
        <v>156</v>
      </c>
      <c r="CX6" s="55" t="s">
        <v>156</v>
      </c>
      <c r="DG6" s="55" t="s">
        <v>156</v>
      </c>
      <c r="DL6" s="55" t="s">
        <v>156</v>
      </c>
      <c r="DV6" s="132" t="s">
        <v>156</v>
      </c>
      <c r="DW6" s="55" t="str">
        <f t="shared" si="11"/>
        <v>NR-n5(850)</v>
      </c>
      <c r="EC6" s="132" t="s">
        <v>156</v>
      </c>
      <c r="ED6" s="55" t="str">
        <f t="shared" si="12"/>
        <v>NR-n28(700)</v>
      </c>
      <c r="EE6" s="132" t="s">
        <v>156</v>
      </c>
      <c r="EF6" s="55" t="str">
        <f t="shared" si="13"/>
        <v>NR-n34(2100)</v>
      </c>
      <c r="EI6" s="132" t="s">
        <v>156</v>
      </c>
      <c r="EJ6" s="55" t="str">
        <f t="shared" si="14"/>
        <v>NR-n40(2300)</v>
      </c>
      <c r="EK6" s="132" t="s">
        <v>156</v>
      </c>
      <c r="EL6" s="55" t="str">
        <f t="shared" si="15"/>
        <v>NR-n41(2500)</v>
      </c>
      <c r="EW6" s="132" t="s">
        <v>156</v>
      </c>
      <c r="EX6" s="55" t="str">
        <f t="shared" si="1"/>
        <v>NR-n78(3500)</v>
      </c>
      <c r="FF6" s="144" t="str">
        <f t="shared" si="16"/>
        <v>L-1 (2100),L-2 (1900),L-3 (1800),L-4 (1700),L-5 (850),,L-8 (900),NR-n5(850),NR-n28(700),NR-n34(2100),NR-n40(2300),NR-n41(2500),NR-n78(3500)</v>
      </c>
    </row>
    <row r="7" spans="1:162" x14ac:dyDescent="0.25">
      <c r="A7" s="55">
        <v>35123243</v>
      </c>
      <c r="B7" s="55" t="s">
        <v>245</v>
      </c>
      <c r="C7" s="55" t="s">
        <v>199</v>
      </c>
      <c r="D7" s="55" t="s">
        <v>245</v>
      </c>
      <c r="E7" s="55" t="s">
        <v>29</v>
      </c>
      <c r="F7" s="54" t="s">
        <v>176</v>
      </c>
      <c r="G7" s="55" t="s">
        <v>181</v>
      </c>
      <c r="H7" s="55" t="s">
        <v>198</v>
      </c>
      <c r="I7" s="55" t="s">
        <v>156</v>
      </c>
      <c r="J7" s="55" t="s">
        <v>156</v>
      </c>
      <c r="K7" s="55"/>
      <c r="L7" s="55" t="s">
        <v>156</v>
      </c>
      <c r="M7" s="55" t="str">
        <f t="shared" si="2"/>
        <v>G-800</v>
      </c>
      <c r="N7" s="55"/>
      <c r="O7" s="55" t="s">
        <v>156</v>
      </c>
      <c r="P7" s="55" t="str">
        <f t="shared" si="3"/>
        <v>G-1800</v>
      </c>
      <c r="AO7" s="55" t="str">
        <f t="shared" si="4"/>
        <v>L-1 (2100)</v>
      </c>
      <c r="AR7" s="55" t="str">
        <f t="shared" si="5"/>
        <v>L-2 (1900)</v>
      </c>
      <c r="AT7" s="55" t="str">
        <f t="shared" si="6"/>
        <v>L-3 (1800)</v>
      </c>
      <c r="AV7" s="55" t="str">
        <f t="shared" si="7"/>
        <v>L-4 (1700)</v>
      </c>
      <c r="AX7" s="55" t="str">
        <f t="shared" si="8"/>
        <v>L-5 (850)</v>
      </c>
      <c r="BB7" s="55" t="str">
        <f t="shared" si="9"/>
        <v>L-8 (900)</v>
      </c>
      <c r="BD7" s="55" t="str">
        <f t="shared" si="10"/>
        <v>L-10 (1700)</v>
      </c>
      <c r="BH7" s="55" t="str">
        <f t="shared" si="0"/>
        <v>L-12 (700)</v>
      </c>
      <c r="DV7" s="132" t="s">
        <v>156</v>
      </c>
      <c r="DW7" s="55" t="str">
        <f t="shared" si="11"/>
        <v>NR-n5(850)</v>
      </c>
      <c r="EC7" s="132" t="s">
        <v>156</v>
      </c>
      <c r="ED7" s="55" t="str">
        <f t="shared" si="12"/>
        <v>NR-n28(700)</v>
      </c>
      <c r="EE7" s="132" t="s">
        <v>156</v>
      </c>
      <c r="EF7" s="55" t="str">
        <f t="shared" si="13"/>
        <v>NR-n34(2100)</v>
      </c>
      <c r="EI7" s="132" t="s">
        <v>156</v>
      </c>
      <c r="EJ7" s="55" t="str">
        <f t="shared" si="14"/>
        <v>NR-n40(2300)</v>
      </c>
      <c r="EK7" s="132" t="s">
        <v>156</v>
      </c>
      <c r="EL7" s="55" t="str">
        <f t="shared" si="15"/>
        <v>NR-n41(2500)</v>
      </c>
      <c r="EW7" s="132" t="s">
        <v>156</v>
      </c>
      <c r="EX7" s="55" t="str">
        <f t="shared" si="1"/>
        <v>NR-n78(3500)</v>
      </c>
      <c r="FF7" s="144" t="str">
        <f t="shared" si="16"/>
        <v>L-1 (2100),L-2 (1900),L-3 (1800),L-4 (1700),L-5 (850),,L-8 (900),NR-n5(850),NR-n28(700),NR-n34(2100),NR-n40(2300),NR-n41(2500),NR-n78(3500)</v>
      </c>
    </row>
    <row r="8" spans="1:162" ht="30.75" customHeight="1" x14ac:dyDescent="0.25">
      <c r="A8" s="55">
        <v>99011011</v>
      </c>
      <c r="B8" s="55" t="s">
        <v>196</v>
      </c>
      <c r="C8" s="55" t="s">
        <v>197</v>
      </c>
      <c r="D8" s="55" t="s">
        <v>196</v>
      </c>
      <c r="E8" s="55" t="s">
        <v>38</v>
      </c>
      <c r="F8" s="54" t="s">
        <v>176</v>
      </c>
      <c r="G8" s="55" t="s">
        <v>66</v>
      </c>
      <c r="H8" s="55" t="s">
        <v>198</v>
      </c>
      <c r="I8" s="55" t="s">
        <v>198</v>
      </c>
      <c r="J8" s="55" t="s">
        <v>156</v>
      </c>
      <c r="K8" s="54" t="s">
        <v>176</v>
      </c>
      <c r="L8" s="54" t="s">
        <v>176</v>
      </c>
      <c r="M8" s="54"/>
      <c r="N8" s="54" t="s">
        <v>176</v>
      </c>
      <c r="O8" s="54" t="s">
        <v>176</v>
      </c>
      <c r="P8" s="54"/>
      <c r="Q8" s="54" t="s">
        <v>176</v>
      </c>
      <c r="R8" s="54" t="s">
        <v>176</v>
      </c>
      <c r="S8" s="54" t="s">
        <v>176</v>
      </c>
      <c r="T8" s="54" t="s">
        <v>176</v>
      </c>
      <c r="U8" s="54" t="s">
        <v>176</v>
      </c>
      <c r="V8" s="54" t="s">
        <v>176</v>
      </c>
      <c r="AN8" s="55" t="s">
        <v>156</v>
      </c>
      <c r="AO8" s="55" t="str">
        <f t="shared" si="4"/>
        <v>L-1 (2100)</v>
      </c>
      <c r="AQ8" s="55" t="s">
        <v>156</v>
      </c>
      <c r="AR8" s="55" t="str">
        <f t="shared" si="5"/>
        <v>L-2 (1900)</v>
      </c>
      <c r="AS8" s="55" t="s">
        <v>156</v>
      </c>
      <c r="AT8" s="55" t="str">
        <f t="shared" si="6"/>
        <v>L-3 (1800)</v>
      </c>
      <c r="AU8" s="55" t="s">
        <v>156</v>
      </c>
      <c r="AV8" s="55" t="str">
        <f t="shared" si="7"/>
        <v>L-4 (1700)</v>
      </c>
      <c r="AW8" s="55" t="s">
        <v>156</v>
      </c>
      <c r="AX8" s="55" t="str">
        <f t="shared" si="8"/>
        <v>L-5 (850)</v>
      </c>
      <c r="BA8" s="55" t="s">
        <v>156</v>
      </c>
      <c r="BB8" s="55" t="str">
        <f t="shared" si="9"/>
        <v>L-8 (900)</v>
      </c>
      <c r="BC8" s="55" t="s">
        <v>156</v>
      </c>
      <c r="BD8" s="55" t="str">
        <f t="shared" si="10"/>
        <v>L-10 (1700)</v>
      </c>
      <c r="BE8" s="55" t="s">
        <v>156</v>
      </c>
      <c r="BG8" s="55" t="s">
        <v>156</v>
      </c>
      <c r="BH8" s="55" t="str">
        <f t="shared" si="0"/>
        <v>L-12 (700)</v>
      </c>
      <c r="BI8" s="55" t="s">
        <v>156</v>
      </c>
      <c r="BK8" s="55" t="s">
        <v>156</v>
      </c>
      <c r="BM8" s="55" t="s">
        <v>156</v>
      </c>
      <c r="BO8" s="55" t="s">
        <v>156</v>
      </c>
      <c r="BQ8" s="55" t="s">
        <v>156</v>
      </c>
      <c r="BS8" s="55" t="s">
        <v>156</v>
      </c>
      <c r="BU8" s="55" t="s">
        <v>156</v>
      </c>
      <c r="CA8" s="55" t="s">
        <v>156</v>
      </c>
      <c r="CC8" s="55" t="s">
        <v>156</v>
      </c>
      <c r="CF8" s="55" t="s">
        <v>156</v>
      </c>
      <c r="CH8" s="55" t="s">
        <v>156</v>
      </c>
      <c r="CL8" s="55" t="s">
        <v>156</v>
      </c>
      <c r="CP8" s="55" t="s">
        <v>156</v>
      </c>
      <c r="CR8" s="55" t="s">
        <v>156</v>
      </c>
      <c r="CS8" s="55" t="s">
        <v>156</v>
      </c>
      <c r="CT8" s="55" t="s">
        <v>156</v>
      </c>
      <c r="CX8" s="55" t="s">
        <v>156</v>
      </c>
      <c r="DG8" s="55" t="s">
        <v>156</v>
      </c>
      <c r="DL8" s="55" t="s">
        <v>156</v>
      </c>
      <c r="DV8" s="132" t="s">
        <v>156</v>
      </c>
      <c r="DW8" s="55" t="str">
        <f t="shared" si="11"/>
        <v>NR-n5(850)</v>
      </c>
      <c r="EB8" s="49"/>
      <c r="EC8" s="132" t="s">
        <v>156</v>
      </c>
      <c r="ED8" s="55" t="str">
        <f t="shared" si="12"/>
        <v>NR-n28(700)</v>
      </c>
      <c r="EE8" s="132" t="s">
        <v>156</v>
      </c>
      <c r="EF8" s="55" t="str">
        <f t="shared" si="13"/>
        <v>NR-n34(2100)</v>
      </c>
      <c r="EI8" s="132" t="s">
        <v>156</v>
      </c>
      <c r="EJ8" s="55" t="str">
        <f t="shared" si="14"/>
        <v>NR-n40(2300)</v>
      </c>
      <c r="EK8" s="132" t="s">
        <v>156</v>
      </c>
      <c r="EL8" s="55" t="str">
        <f t="shared" si="15"/>
        <v>NR-n41(2500)</v>
      </c>
      <c r="FF8" s="144" t="str">
        <f t="shared" si="16"/>
        <v>L-1 (2100),L-2 (1900),L-3 (1800),L-4 (1700),L-5 (850),,L-8 (900),NR-n5(850),NR-n28(700),NR-n34(2100),NR-n40(2300),NR-n41(2500),</v>
      </c>
    </row>
    <row r="9" spans="1:162" x14ac:dyDescent="0.25">
      <c r="A9" s="55">
        <v>99011493</v>
      </c>
      <c r="B9" s="55" t="s">
        <v>196</v>
      </c>
      <c r="C9" s="55" t="s">
        <v>247</v>
      </c>
      <c r="D9" s="55" t="s">
        <v>196</v>
      </c>
      <c r="E9" s="55" t="s">
        <v>38</v>
      </c>
      <c r="F9" s="54" t="s">
        <v>176</v>
      </c>
      <c r="G9" s="55" t="s">
        <v>66</v>
      </c>
      <c r="H9" s="55" t="s">
        <v>198</v>
      </c>
      <c r="I9" s="55" t="s">
        <v>198</v>
      </c>
      <c r="J9" s="55" t="s">
        <v>156</v>
      </c>
      <c r="K9" s="55"/>
      <c r="L9" s="55"/>
      <c r="M9" s="55"/>
      <c r="N9" s="55"/>
      <c r="O9" s="55"/>
      <c r="P9" s="55"/>
      <c r="DS9" s="84"/>
      <c r="DT9" s="84"/>
      <c r="DU9" s="84"/>
      <c r="DV9" s="132" t="s">
        <v>156</v>
      </c>
      <c r="DW9" s="55" t="str">
        <f t="shared" si="11"/>
        <v>NR-n5(850)</v>
      </c>
      <c r="DX9" s="84"/>
      <c r="DY9" s="84"/>
      <c r="DZ9" s="84"/>
      <c r="EA9" s="84"/>
      <c r="EB9" s="84"/>
      <c r="EC9" s="132" t="s">
        <v>156</v>
      </c>
      <c r="ED9" s="55" t="str">
        <f t="shared" si="12"/>
        <v>NR-n28(700)</v>
      </c>
      <c r="EE9" s="132" t="s">
        <v>156</v>
      </c>
      <c r="EF9" s="55" t="str">
        <f t="shared" si="13"/>
        <v>NR-n34(2100)</v>
      </c>
      <c r="EG9" s="84"/>
      <c r="EH9" s="84"/>
      <c r="EI9" s="132" t="s">
        <v>156</v>
      </c>
      <c r="EJ9" s="55" t="str">
        <f t="shared" si="14"/>
        <v>NR-n40(2300)</v>
      </c>
      <c r="EK9" s="132" t="s">
        <v>156</v>
      </c>
      <c r="EL9" s="55" t="str">
        <f t="shared" si="15"/>
        <v>NR-n41(2500)</v>
      </c>
      <c r="EM9" s="84"/>
      <c r="EN9" s="84"/>
      <c r="EO9" s="84"/>
      <c r="EP9" s="84"/>
      <c r="EQ9" s="84"/>
      <c r="ER9" s="84"/>
      <c r="ES9" s="84"/>
      <c r="ET9" s="84"/>
      <c r="EU9" s="84"/>
      <c r="EV9" s="84"/>
      <c r="EW9" s="84"/>
      <c r="EY9" s="84"/>
      <c r="EZ9" s="84"/>
      <c r="FA9" s="84"/>
      <c r="FB9" s="84"/>
      <c r="FC9" s="84"/>
      <c r="FD9" s="84"/>
      <c r="FE9" s="84"/>
      <c r="FF9" s="144" t="str">
        <f t="shared" si="16"/>
        <v>,,,,,,,NR-n5(850),NR-n28(700),NR-n34(2100),NR-n40(2300),NR-n41(2500),</v>
      </c>
    </row>
    <row r="10" spans="1:162" x14ac:dyDescent="0.25">
      <c r="A10" s="55">
        <v>99012444</v>
      </c>
      <c r="B10" s="55" t="s">
        <v>250</v>
      </c>
      <c r="C10" s="89" t="s">
        <v>251</v>
      </c>
      <c r="D10" s="55" t="s">
        <v>252</v>
      </c>
      <c r="E10" s="55" t="s">
        <v>29</v>
      </c>
      <c r="F10" s="54"/>
      <c r="G10" s="55" t="s">
        <v>66</v>
      </c>
      <c r="H10" s="55" t="s">
        <v>198</v>
      </c>
      <c r="I10" s="55" t="s">
        <v>198</v>
      </c>
      <c r="J10" s="55" t="s">
        <v>198</v>
      </c>
      <c r="K10" s="55"/>
      <c r="L10" s="55"/>
      <c r="M10" s="55"/>
      <c r="N10" s="55"/>
      <c r="O10" s="55"/>
      <c r="P10" s="55"/>
      <c r="DS10" s="84"/>
      <c r="DT10" s="84"/>
      <c r="DU10" s="84"/>
      <c r="DV10" s="84"/>
      <c r="DX10" s="84"/>
      <c r="DY10" s="84"/>
      <c r="DZ10" s="84"/>
      <c r="EA10" s="84"/>
      <c r="EB10" s="84"/>
      <c r="EC10" s="84"/>
      <c r="EE10" s="84"/>
      <c r="EG10" s="84"/>
      <c r="EH10" s="84"/>
      <c r="EI10" s="84"/>
      <c r="EK10" s="84"/>
      <c r="EM10" s="84"/>
      <c r="EN10" s="84"/>
      <c r="EO10" s="84"/>
      <c r="EP10" s="84"/>
      <c r="EQ10" s="84"/>
      <c r="ER10" s="84"/>
      <c r="ES10" s="84"/>
      <c r="ET10" s="84"/>
      <c r="EU10" s="84"/>
      <c r="EV10" s="84"/>
      <c r="EW10" s="84"/>
      <c r="EY10" s="84"/>
      <c r="EZ10" s="84"/>
      <c r="FA10" s="84"/>
      <c r="FB10" s="84"/>
      <c r="FC10" s="84"/>
      <c r="FD10" s="84"/>
      <c r="FE10" s="84"/>
      <c r="FF10" s="144" t="str">
        <f t="shared" si="16"/>
        <v>,,,,,,,,,,,,</v>
      </c>
    </row>
    <row r="11" spans="1:162" s="87" customFormat="1" ht="15" x14ac:dyDescent="0.25">
      <c r="DS11" s="88"/>
      <c r="DT11" s="88"/>
      <c r="DU11" s="88"/>
      <c r="DV11" s="88"/>
      <c r="DW11" s="88"/>
      <c r="DX11" s="88"/>
      <c r="DY11" s="88"/>
      <c r="DZ11" s="88"/>
      <c r="EA11" s="88"/>
      <c r="EB11" s="88"/>
      <c r="EC11" s="88"/>
      <c r="ED11" s="88"/>
      <c r="EE11" s="88"/>
      <c r="EF11" s="88"/>
      <c r="EG11" s="88"/>
      <c r="EH11" s="88"/>
      <c r="EI11" s="88"/>
      <c r="EJ11" s="88"/>
      <c r="EK11" s="88"/>
      <c r="EL11" s="88"/>
      <c r="EM11" s="88"/>
      <c r="EN11" s="88"/>
      <c r="EO11" s="88"/>
      <c r="EP11" s="88"/>
      <c r="EQ11" s="88"/>
      <c r="ER11" s="88"/>
      <c r="ES11" s="88"/>
      <c r="ET11" s="88"/>
      <c r="EU11" s="88"/>
      <c r="EV11" s="88"/>
      <c r="EW11" s="88"/>
      <c r="EX11" s="88"/>
      <c r="EY11" s="88"/>
      <c r="EZ11" s="88"/>
      <c r="FA11" s="88"/>
      <c r="FB11" s="88"/>
      <c r="FC11" s="88"/>
      <c r="FD11" s="88"/>
      <c r="FE11" s="88"/>
    </row>
    <row r="12" spans="1:162" s="87" customFormat="1" ht="15" x14ac:dyDescent="0.25">
      <c r="A12" s="87">
        <v>1</v>
      </c>
      <c r="B12" s="87">
        <v>2</v>
      </c>
      <c r="C12" s="87">
        <v>3</v>
      </c>
      <c r="D12" s="87">
        <v>4</v>
      </c>
      <c r="E12" s="87">
        <v>5</v>
      </c>
      <c r="F12" s="87">
        <v>6</v>
      </c>
      <c r="G12" s="87">
        <v>7</v>
      </c>
      <c r="H12" s="87">
        <v>8</v>
      </c>
      <c r="I12" s="87">
        <v>9</v>
      </c>
      <c r="J12" s="87">
        <v>10</v>
      </c>
      <c r="K12" s="87">
        <v>11</v>
      </c>
      <c r="L12" s="87">
        <v>12</v>
      </c>
      <c r="M12" s="87">
        <v>13</v>
      </c>
      <c r="N12" s="87">
        <v>14</v>
      </c>
      <c r="O12" s="87">
        <v>15</v>
      </c>
      <c r="P12" s="87">
        <v>16</v>
      </c>
      <c r="Q12" s="87">
        <v>17</v>
      </c>
      <c r="R12" s="87">
        <v>18</v>
      </c>
      <c r="S12" s="87">
        <v>19</v>
      </c>
      <c r="T12" s="87">
        <v>20</v>
      </c>
      <c r="U12" s="87">
        <v>21</v>
      </c>
      <c r="V12" s="87">
        <v>22</v>
      </c>
      <c r="W12" s="87">
        <v>23</v>
      </c>
      <c r="X12" s="87">
        <v>24</v>
      </c>
      <c r="Y12" s="87">
        <v>25</v>
      </c>
      <c r="Z12" s="87">
        <v>26</v>
      </c>
      <c r="AA12" s="87">
        <v>27</v>
      </c>
      <c r="AB12" s="87">
        <v>28</v>
      </c>
      <c r="AC12" s="87">
        <v>29</v>
      </c>
      <c r="AD12" s="87">
        <v>30</v>
      </c>
      <c r="AE12" s="87">
        <v>31</v>
      </c>
      <c r="AF12" s="87">
        <v>32</v>
      </c>
      <c r="AG12" s="87">
        <v>33</v>
      </c>
      <c r="AH12" s="87">
        <v>34</v>
      </c>
      <c r="AI12" s="87">
        <v>35</v>
      </c>
      <c r="AJ12" s="87">
        <v>36</v>
      </c>
      <c r="AK12" s="87">
        <v>37</v>
      </c>
      <c r="AL12" s="87">
        <v>38</v>
      </c>
      <c r="AM12" s="87">
        <v>39</v>
      </c>
      <c r="AN12" s="87">
        <v>40</v>
      </c>
      <c r="AO12" s="87">
        <v>41</v>
      </c>
      <c r="AP12" s="87">
        <v>42</v>
      </c>
      <c r="AQ12" s="87">
        <v>43</v>
      </c>
      <c r="AR12" s="87">
        <v>44</v>
      </c>
      <c r="AS12" s="87">
        <v>45</v>
      </c>
      <c r="AT12" s="87">
        <v>46</v>
      </c>
      <c r="AU12" s="87">
        <v>47</v>
      </c>
      <c r="AV12" s="87">
        <v>48</v>
      </c>
      <c r="AW12" s="87">
        <v>49</v>
      </c>
      <c r="AX12" s="87">
        <v>50</v>
      </c>
      <c r="AY12" s="87">
        <v>51</v>
      </c>
      <c r="AZ12" s="87">
        <v>52</v>
      </c>
      <c r="BA12" s="87">
        <v>53</v>
      </c>
      <c r="BB12" s="87">
        <v>54</v>
      </c>
      <c r="BC12" s="87">
        <v>55</v>
      </c>
      <c r="BD12" s="87">
        <v>56</v>
      </c>
      <c r="BE12" s="87">
        <v>57</v>
      </c>
      <c r="BF12" s="87">
        <v>58</v>
      </c>
      <c r="BG12" s="87">
        <v>59</v>
      </c>
      <c r="BH12" s="87">
        <v>60</v>
      </c>
      <c r="BI12" s="87">
        <v>61</v>
      </c>
      <c r="BJ12" s="87">
        <v>62</v>
      </c>
      <c r="BK12" s="87">
        <v>63</v>
      </c>
      <c r="BL12" s="87">
        <v>64</v>
      </c>
      <c r="BM12" s="87">
        <v>65</v>
      </c>
      <c r="BN12" s="87">
        <v>66</v>
      </c>
      <c r="BO12" s="87">
        <v>67</v>
      </c>
      <c r="BP12" s="87">
        <v>68</v>
      </c>
      <c r="BQ12" s="87">
        <v>69</v>
      </c>
      <c r="BR12" s="87">
        <v>70</v>
      </c>
      <c r="BS12" s="87">
        <v>71</v>
      </c>
      <c r="BT12" s="87">
        <v>72</v>
      </c>
      <c r="BU12" s="87">
        <v>73</v>
      </c>
      <c r="BV12" s="87">
        <v>74</v>
      </c>
      <c r="BW12" s="87">
        <v>75</v>
      </c>
      <c r="BX12" s="87">
        <v>76</v>
      </c>
      <c r="BY12" s="87">
        <v>77</v>
      </c>
      <c r="BZ12" s="87">
        <v>78</v>
      </c>
      <c r="CA12" s="87">
        <v>79</v>
      </c>
      <c r="CB12" s="87">
        <v>80</v>
      </c>
      <c r="CC12" s="87">
        <v>81</v>
      </c>
      <c r="CD12" s="87">
        <v>82</v>
      </c>
      <c r="CE12" s="87">
        <v>83</v>
      </c>
      <c r="CF12" s="87">
        <v>84</v>
      </c>
      <c r="CG12" s="87">
        <v>85</v>
      </c>
      <c r="CH12" s="87">
        <v>86</v>
      </c>
      <c r="CI12" s="87">
        <v>87</v>
      </c>
      <c r="CJ12" s="87">
        <v>88</v>
      </c>
      <c r="CK12" s="87">
        <v>89</v>
      </c>
      <c r="CL12" s="87">
        <v>90</v>
      </c>
      <c r="CM12" s="87">
        <v>91</v>
      </c>
      <c r="CN12" s="87">
        <v>92</v>
      </c>
      <c r="CO12" s="87">
        <v>93</v>
      </c>
      <c r="CP12" s="87">
        <v>94</v>
      </c>
      <c r="CQ12" s="87">
        <v>95</v>
      </c>
      <c r="CR12" s="87">
        <v>96</v>
      </c>
      <c r="CS12" s="87">
        <v>97</v>
      </c>
      <c r="CT12" s="87">
        <v>98</v>
      </c>
      <c r="CU12" s="87">
        <v>99</v>
      </c>
      <c r="CV12" s="87">
        <v>100</v>
      </c>
      <c r="CW12" s="87">
        <v>101</v>
      </c>
      <c r="CX12" s="87">
        <v>102</v>
      </c>
      <c r="CY12" s="87">
        <v>103</v>
      </c>
      <c r="CZ12" s="87">
        <v>104</v>
      </c>
      <c r="DA12" s="87">
        <v>105</v>
      </c>
      <c r="DB12" s="87">
        <v>106</v>
      </c>
      <c r="DC12" s="87">
        <v>107</v>
      </c>
      <c r="DD12" s="87">
        <v>108</v>
      </c>
      <c r="DE12" s="87">
        <v>109</v>
      </c>
      <c r="DF12" s="87">
        <v>110</v>
      </c>
      <c r="DG12" s="87">
        <v>111</v>
      </c>
      <c r="DH12" s="87">
        <v>112</v>
      </c>
      <c r="DI12" s="87">
        <v>113</v>
      </c>
      <c r="DJ12" s="87">
        <v>114</v>
      </c>
      <c r="DK12" s="87">
        <v>115</v>
      </c>
      <c r="DL12" s="87">
        <v>116</v>
      </c>
      <c r="DM12" s="87">
        <v>117</v>
      </c>
      <c r="DN12" s="87">
        <v>118</v>
      </c>
      <c r="DO12" s="87">
        <v>119</v>
      </c>
      <c r="DP12" s="87">
        <v>120</v>
      </c>
      <c r="DQ12" s="87">
        <v>121</v>
      </c>
      <c r="DR12" s="87">
        <v>122</v>
      </c>
      <c r="DS12" s="87">
        <v>123</v>
      </c>
      <c r="DT12" s="87">
        <v>124</v>
      </c>
      <c r="DU12" s="87">
        <v>125</v>
      </c>
      <c r="DV12" s="87">
        <v>126</v>
      </c>
      <c r="DW12" s="87">
        <v>127</v>
      </c>
      <c r="DX12" s="87">
        <v>128</v>
      </c>
      <c r="DY12" s="87">
        <v>129</v>
      </c>
      <c r="DZ12" s="87">
        <v>130</v>
      </c>
      <c r="EA12" s="87">
        <v>131</v>
      </c>
      <c r="EB12" s="87">
        <v>132</v>
      </c>
      <c r="EC12" s="87">
        <v>133</v>
      </c>
      <c r="ED12" s="87">
        <v>134</v>
      </c>
      <c r="EE12" s="87">
        <v>135</v>
      </c>
      <c r="EF12" s="87">
        <v>136</v>
      </c>
      <c r="EG12" s="87">
        <v>137</v>
      </c>
      <c r="EH12" s="87">
        <v>138</v>
      </c>
      <c r="EI12" s="87">
        <v>139</v>
      </c>
      <c r="EJ12" s="87">
        <v>140</v>
      </c>
      <c r="EK12" s="87">
        <v>141</v>
      </c>
      <c r="EL12" s="87">
        <v>142</v>
      </c>
      <c r="EM12" s="87">
        <v>143</v>
      </c>
      <c r="EN12" s="87">
        <v>144</v>
      </c>
      <c r="EO12" s="87">
        <v>145</v>
      </c>
      <c r="EP12" s="87">
        <v>146</v>
      </c>
      <c r="EQ12" s="87">
        <v>147</v>
      </c>
      <c r="ER12" s="87">
        <v>148</v>
      </c>
      <c r="ES12" s="87">
        <v>149</v>
      </c>
      <c r="ET12" s="87">
        <v>150</v>
      </c>
      <c r="EU12" s="87">
        <v>151</v>
      </c>
      <c r="EV12" s="87">
        <v>152</v>
      </c>
      <c r="EW12" s="87">
        <v>153</v>
      </c>
      <c r="EX12" s="87">
        <v>154</v>
      </c>
      <c r="EY12" s="87">
        <v>155</v>
      </c>
      <c r="EZ12" s="87">
        <v>156</v>
      </c>
      <c r="FA12" s="87">
        <v>157</v>
      </c>
      <c r="FB12" s="87">
        <v>158</v>
      </c>
      <c r="FC12" s="87">
        <v>159</v>
      </c>
      <c r="FD12" s="87">
        <v>160</v>
      </c>
      <c r="FE12" s="87">
        <v>161</v>
      </c>
      <c r="FF12" s="87">
        <v>162</v>
      </c>
    </row>
    <row r="13" spans="1:162" x14ac:dyDescent="0.25">
      <c r="A13" s="54" t="s">
        <v>176</v>
      </c>
      <c r="B13" s="55" t="s">
        <v>154</v>
      </c>
      <c r="C13" s="54" t="s">
        <v>176</v>
      </c>
      <c r="D13" s="55" t="s">
        <v>153</v>
      </c>
      <c r="E13" s="55" t="s">
        <v>33</v>
      </c>
      <c r="F13" s="54" t="s">
        <v>176</v>
      </c>
      <c r="G13" s="55" t="s">
        <v>157</v>
      </c>
      <c r="H13" s="55" t="s">
        <v>156</v>
      </c>
      <c r="I13" s="55" t="s">
        <v>156</v>
      </c>
      <c r="J13" s="55" t="s">
        <v>156</v>
      </c>
      <c r="K13" s="55"/>
      <c r="L13" s="55" t="s">
        <v>156</v>
      </c>
      <c r="M13" s="55"/>
      <c r="N13" s="55"/>
      <c r="O13" s="55" t="s">
        <v>156</v>
      </c>
      <c r="P13" s="55"/>
    </row>
    <row r="14" spans="1:162" x14ac:dyDescent="0.25">
      <c r="A14" s="54" t="s">
        <v>176</v>
      </c>
      <c r="B14" s="55" t="s">
        <v>154</v>
      </c>
      <c r="C14" s="54" t="s">
        <v>176</v>
      </c>
      <c r="D14" s="55" t="s">
        <v>153</v>
      </c>
      <c r="E14" s="55" t="s">
        <v>33</v>
      </c>
      <c r="F14" s="54" t="s">
        <v>176</v>
      </c>
      <c r="G14" s="55" t="s">
        <v>157</v>
      </c>
      <c r="H14" s="55" t="s">
        <v>156</v>
      </c>
      <c r="I14" s="55" t="s">
        <v>156</v>
      </c>
      <c r="J14" s="55" t="s">
        <v>156</v>
      </c>
      <c r="K14" s="55"/>
      <c r="L14" s="55" t="s">
        <v>156</v>
      </c>
      <c r="M14" s="55"/>
      <c r="N14" s="55"/>
      <c r="O14" s="55" t="s">
        <v>156</v>
      </c>
      <c r="P14" s="55"/>
    </row>
    <row r="15" spans="1:162" x14ac:dyDescent="0.25">
      <c r="A15" s="54" t="s">
        <v>176</v>
      </c>
      <c r="B15" s="55" t="s">
        <v>154</v>
      </c>
      <c r="C15" s="54" t="s">
        <v>176</v>
      </c>
      <c r="D15" s="55" t="s">
        <v>153</v>
      </c>
      <c r="E15" s="55" t="s">
        <v>33</v>
      </c>
      <c r="F15" s="54" t="s">
        <v>176</v>
      </c>
      <c r="G15" s="55" t="s">
        <v>157</v>
      </c>
      <c r="H15" s="55" t="s">
        <v>156</v>
      </c>
      <c r="I15" s="55" t="s">
        <v>156</v>
      </c>
      <c r="J15" s="55" t="s">
        <v>156</v>
      </c>
      <c r="K15" s="55"/>
      <c r="L15" s="55" t="s">
        <v>156</v>
      </c>
      <c r="M15" s="55"/>
      <c r="N15" s="55"/>
      <c r="O15" s="55" t="s">
        <v>156</v>
      </c>
      <c r="P15" s="55"/>
    </row>
    <row r="16" spans="1:162" x14ac:dyDescent="0.25">
      <c r="A16" s="54" t="s">
        <v>176</v>
      </c>
      <c r="B16" s="55" t="s">
        <v>154</v>
      </c>
      <c r="C16" s="54" t="s">
        <v>176</v>
      </c>
      <c r="D16" s="55" t="s">
        <v>153</v>
      </c>
      <c r="E16" s="55" t="s">
        <v>33</v>
      </c>
      <c r="F16" s="54" t="s">
        <v>176</v>
      </c>
      <c r="G16" s="55" t="s">
        <v>157</v>
      </c>
      <c r="H16" s="55" t="s">
        <v>156</v>
      </c>
      <c r="I16" s="55" t="s">
        <v>156</v>
      </c>
      <c r="J16" s="55" t="s">
        <v>156</v>
      </c>
      <c r="K16" s="55"/>
      <c r="L16" s="55" t="s">
        <v>156</v>
      </c>
      <c r="M16" s="55"/>
      <c r="N16" s="55"/>
      <c r="O16" s="55" t="s">
        <v>156</v>
      </c>
      <c r="P16" s="55"/>
    </row>
    <row r="17" spans="1:161" x14ac:dyDescent="0.25">
      <c r="A17" s="54" t="s">
        <v>176</v>
      </c>
      <c r="B17" s="55" t="s">
        <v>154</v>
      </c>
      <c r="C17" s="54" t="s">
        <v>176</v>
      </c>
      <c r="D17" s="55" t="s">
        <v>153</v>
      </c>
      <c r="E17" s="55" t="s">
        <v>33</v>
      </c>
      <c r="F17" s="54" t="s">
        <v>176</v>
      </c>
      <c r="G17" s="55" t="s">
        <v>157</v>
      </c>
      <c r="H17" s="55" t="s">
        <v>156</v>
      </c>
      <c r="I17" s="55" t="s">
        <v>156</v>
      </c>
      <c r="J17" s="55" t="s">
        <v>156</v>
      </c>
      <c r="K17" s="55"/>
      <c r="L17" s="55" t="s">
        <v>156</v>
      </c>
      <c r="M17" s="55"/>
      <c r="N17" s="55"/>
      <c r="O17" s="55" t="s">
        <v>156</v>
      </c>
      <c r="P17" s="55"/>
    </row>
    <row r="18" spans="1:161" x14ac:dyDescent="0.25">
      <c r="A18" s="54" t="s">
        <v>176</v>
      </c>
      <c r="B18" s="55" t="s">
        <v>154</v>
      </c>
      <c r="C18" s="54" t="s">
        <v>176</v>
      </c>
      <c r="D18" s="55" t="s">
        <v>153</v>
      </c>
      <c r="E18" s="55" t="s">
        <v>33</v>
      </c>
      <c r="F18" s="54" t="s">
        <v>176</v>
      </c>
      <c r="G18" s="55" t="s">
        <v>157</v>
      </c>
      <c r="H18" s="55" t="s">
        <v>156</v>
      </c>
      <c r="I18" s="55" t="s">
        <v>156</v>
      </c>
      <c r="J18" s="55" t="s">
        <v>156</v>
      </c>
      <c r="K18" s="55"/>
      <c r="L18" s="55" t="s">
        <v>156</v>
      </c>
      <c r="M18" s="55"/>
      <c r="N18" s="55"/>
      <c r="O18" s="55" t="s">
        <v>156</v>
      </c>
      <c r="P18" s="55"/>
    </row>
    <row r="19" spans="1:161" x14ac:dyDescent="0.25">
      <c r="A19" s="54" t="s">
        <v>176</v>
      </c>
      <c r="B19" s="55" t="s">
        <v>154</v>
      </c>
      <c r="C19" s="54" t="s">
        <v>176</v>
      </c>
      <c r="D19" s="55" t="s">
        <v>153</v>
      </c>
      <c r="E19" s="55" t="s">
        <v>33</v>
      </c>
      <c r="F19" s="54" t="s">
        <v>176</v>
      </c>
      <c r="G19" s="55" t="s">
        <v>157</v>
      </c>
      <c r="H19" s="55" t="s">
        <v>156</v>
      </c>
      <c r="I19" s="55" t="s">
        <v>156</v>
      </c>
      <c r="J19" s="55" t="s">
        <v>156</v>
      </c>
      <c r="K19" s="55"/>
      <c r="L19" s="55" t="s">
        <v>156</v>
      </c>
      <c r="M19" s="55"/>
      <c r="N19" s="55"/>
      <c r="O19" s="55" t="s">
        <v>156</v>
      </c>
      <c r="P19" s="55"/>
    </row>
    <row r="20" spans="1:161" x14ac:dyDescent="0.25">
      <c r="A20" s="54" t="s">
        <v>176</v>
      </c>
      <c r="B20" s="55" t="s">
        <v>154</v>
      </c>
      <c r="C20" s="54" t="s">
        <v>176</v>
      </c>
      <c r="D20" s="55" t="s">
        <v>153</v>
      </c>
      <c r="E20" s="55" t="s">
        <v>33</v>
      </c>
      <c r="F20" s="54" t="s">
        <v>176</v>
      </c>
      <c r="G20" s="55" t="s">
        <v>157</v>
      </c>
      <c r="H20" s="55" t="s">
        <v>156</v>
      </c>
      <c r="I20" s="55" t="s">
        <v>156</v>
      </c>
      <c r="J20" s="55" t="s">
        <v>156</v>
      </c>
      <c r="K20" s="55"/>
      <c r="L20" s="55" t="s">
        <v>156</v>
      </c>
      <c r="M20" s="55"/>
      <c r="N20" s="55"/>
      <c r="O20" s="55" t="s">
        <v>156</v>
      </c>
      <c r="P20" s="55"/>
    </row>
    <row r="21" spans="1:161" x14ac:dyDescent="0.25">
      <c r="A21" s="54" t="s">
        <v>176</v>
      </c>
      <c r="B21" s="55" t="s">
        <v>154</v>
      </c>
      <c r="C21" s="54" t="s">
        <v>176</v>
      </c>
      <c r="D21" s="55" t="s">
        <v>153</v>
      </c>
      <c r="E21" s="55" t="s">
        <v>33</v>
      </c>
      <c r="F21" s="54" t="s">
        <v>176</v>
      </c>
      <c r="G21" s="55" t="s">
        <v>157</v>
      </c>
      <c r="H21" s="55" t="s">
        <v>156</v>
      </c>
      <c r="I21" s="55" t="s">
        <v>156</v>
      </c>
      <c r="J21" s="55" t="s">
        <v>156</v>
      </c>
      <c r="K21" s="55"/>
      <c r="L21" s="55" t="s">
        <v>156</v>
      </c>
      <c r="M21" s="55"/>
      <c r="N21" s="55"/>
      <c r="O21" s="55" t="s">
        <v>156</v>
      </c>
      <c r="P21" s="55"/>
    </row>
    <row r="22" spans="1:161" x14ac:dyDescent="0.25">
      <c r="A22" s="54" t="s">
        <v>176</v>
      </c>
      <c r="B22" s="55" t="s">
        <v>154</v>
      </c>
      <c r="C22" s="54" t="s">
        <v>176</v>
      </c>
      <c r="D22" s="55" t="s">
        <v>153</v>
      </c>
      <c r="E22" s="55" t="s">
        <v>33</v>
      </c>
      <c r="F22" s="54" t="s">
        <v>176</v>
      </c>
      <c r="G22" s="55" t="s">
        <v>157</v>
      </c>
      <c r="H22" s="55" t="s">
        <v>156</v>
      </c>
      <c r="I22" s="55" t="s">
        <v>156</v>
      </c>
      <c r="J22" s="55" t="s">
        <v>156</v>
      </c>
      <c r="K22" s="55"/>
      <c r="L22" s="55" t="s">
        <v>156</v>
      </c>
      <c r="M22" s="55"/>
      <c r="N22" s="55"/>
      <c r="O22" s="55" t="s">
        <v>156</v>
      </c>
      <c r="P22" s="55"/>
      <c r="DS22" s="54" t="s">
        <v>176</v>
      </c>
      <c r="DT22" s="54" t="s">
        <v>176</v>
      </c>
      <c r="DU22" s="54" t="s">
        <v>176</v>
      </c>
      <c r="DV22" s="54" t="s">
        <v>176</v>
      </c>
      <c r="DW22" s="54"/>
      <c r="DX22" s="54" t="s">
        <v>176</v>
      </c>
      <c r="DY22" s="54" t="s">
        <v>176</v>
      </c>
      <c r="DZ22" s="54" t="s">
        <v>176</v>
      </c>
      <c r="EA22" s="54" t="s">
        <v>176</v>
      </c>
      <c r="EB22" s="54" t="s">
        <v>176</v>
      </c>
      <c r="EC22" s="54" t="s">
        <v>176</v>
      </c>
      <c r="ED22" s="54"/>
      <c r="EE22" s="54" t="s">
        <v>176</v>
      </c>
      <c r="EF22" s="54"/>
      <c r="EG22" s="54" t="s">
        <v>176</v>
      </c>
      <c r="EH22" s="54" t="s">
        <v>176</v>
      </c>
      <c r="EI22" s="54" t="s">
        <v>176</v>
      </c>
      <c r="EJ22" s="54"/>
      <c r="EK22" s="54" t="s">
        <v>176</v>
      </c>
      <c r="EL22" s="54"/>
      <c r="EM22" s="54" t="s">
        <v>176</v>
      </c>
      <c r="EN22" s="54" t="s">
        <v>176</v>
      </c>
      <c r="EO22" s="54" t="s">
        <v>176</v>
      </c>
      <c r="EP22" s="54" t="s">
        <v>176</v>
      </c>
      <c r="EQ22" s="54" t="s">
        <v>176</v>
      </c>
      <c r="ER22" s="54" t="s">
        <v>176</v>
      </c>
      <c r="ES22" s="54" t="s">
        <v>176</v>
      </c>
      <c r="ET22" s="54" t="s">
        <v>176</v>
      </c>
      <c r="EU22" s="54" t="s">
        <v>176</v>
      </c>
      <c r="EV22" s="54" t="s">
        <v>176</v>
      </c>
      <c r="EW22" s="54" t="s">
        <v>176</v>
      </c>
      <c r="EX22" s="54"/>
      <c r="EY22" s="54" t="s">
        <v>176</v>
      </c>
      <c r="EZ22" s="54" t="s">
        <v>176</v>
      </c>
      <c r="FA22" s="54" t="s">
        <v>176</v>
      </c>
      <c r="FB22" s="54" t="s">
        <v>176</v>
      </c>
      <c r="FC22" s="54" t="s">
        <v>176</v>
      </c>
      <c r="FD22" s="54" t="s">
        <v>176</v>
      </c>
      <c r="FE22" s="54" t="s">
        <v>176</v>
      </c>
    </row>
    <row r="23" spans="1:161" x14ac:dyDescent="0.25">
      <c r="A23" s="54" t="s">
        <v>176</v>
      </c>
      <c r="B23" s="55" t="s">
        <v>154</v>
      </c>
      <c r="C23" s="54" t="s">
        <v>176</v>
      </c>
      <c r="D23" s="55" t="s">
        <v>153</v>
      </c>
      <c r="E23" s="55" t="s">
        <v>33</v>
      </c>
      <c r="F23" s="54" t="s">
        <v>176</v>
      </c>
      <c r="G23" s="55" t="s">
        <v>157</v>
      </c>
      <c r="H23" s="55" t="s">
        <v>156</v>
      </c>
      <c r="I23" s="55" t="s">
        <v>156</v>
      </c>
      <c r="J23" s="55" t="s">
        <v>156</v>
      </c>
      <c r="K23" s="55"/>
      <c r="L23" s="55" t="s">
        <v>156</v>
      </c>
      <c r="M23" s="55"/>
      <c r="N23" s="55"/>
      <c r="O23" s="55" t="s">
        <v>156</v>
      </c>
      <c r="P23" s="55"/>
      <c r="DS23" s="54" t="s">
        <v>176</v>
      </c>
      <c r="DT23" s="54" t="s">
        <v>176</v>
      </c>
      <c r="DU23" s="54" t="s">
        <v>176</v>
      </c>
      <c r="DV23" s="54" t="s">
        <v>176</v>
      </c>
      <c r="DW23" s="54"/>
      <c r="DX23" s="54" t="s">
        <v>176</v>
      </c>
      <c r="DY23" s="54" t="s">
        <v>176</v>
      </c>
      <c r="DZ23" s="54" t="s">
        <v>176</v>
      </c>
      <c r="EA23" s="54" t="s">
        <v>176</v>
      </c>
      <c r="EB23" s="54" t="s">
        <v>176</v>
      </c>
      <c r="EC23" s="54" t="s">
        <v>176</v>
      </c>
      <c r="ED23" s="54"/>
      <c r="EE23" s="54" t="s">
        <v>176</v>
      </c>
      <c r="EF23" s="54"/>
      <c r="EG23" s="54" t="s">
        <v>176</v>
      </c>
      <c r="EH23" s="54" t="s">
        <v>176</v>
      </c>
      <c r="EI23" s="54" t="s">
        <v>176</v>
      </c>
      <c r="EJ23" s="54"/>
      <c r="EK23" s="54" t="s">
        <v>176</v>
      </c>
      <c r="EL23" s="54"/>
      <c r="EM23" s="54" t="s">
        <v>176</v>
      </c>
      <c r="EN23" s="54" t="s">
        <v>176</v>
      </c>
      <c r="EO23" s="54" t="s">
        <v>176</v>
      </c>
      <c r="EP23" s="54" t="s">
        <v>176</v>
      </c>
      <c r="EQ23" s="54" t="s">
        <v>176</v>
      </c>
      <c r="ER23" s="54" t="s">
        <v>176</v>
      </c>
      <c r="ES23" s="54" t="s">
        <v>176</v>
      </c>
      <c r="ET23" s="54" t="s">
        <v>176</v>
      </c>
      <c r="EU23" s="54" t="s">
        <v>176</v>
      </c>
      <c r="EV23" s="54" t="s">
        <v>176</v>
      </c>
      <c r="EW23" s="54" t="s">
        <v>176</v>
      </c>
      <c r="EX23" s="54"/>
      <c r="EY23" s="54" t="s">
        <v>176</v>
      </c>
      <c r="EZ23" s="54" t="s">
        <v>176</v>
      </c>
      <c r="FA23" s="54" t="s">
        <v>176</v>
      </c>
      <c r="FB23" s="54" t="s">
        <v>176</v>
      </c>
      <c r="FC23" s="54" t="s">
        <v>176</v>
      </c>
      <c r="FD23" s="54" t="s">
        <v>176</v>
      </c>
      <c r="FE23" s="54" t="s">
        <v>176</v>
      </c>
    </row>
    <row r="24" spans="1:161" x14ac:dyDescent="0.25">
      <c r="A24" s="55">
        <v>35925406</v>
      </c>
      <c r="B24" s="55" t="s">
        <v>154</v>
      </c>
      <c r="C24" s="55" t="s">
        <v>174</v>
      </c>
      <c r="D24" s="55" t="s">
        <v>153</v>
      </c>
      <c r="E24" s="55" t="s">
        <v>33</v>
      </c>
      <c r="F24" s="55"/>
      <c r="G24" s="55" t="s">
        <v>157</v>
      </c>
      <c r="H24" s="55" t="s">
        <v>156</v>
      </c>
      <c r="I24" s="55" t="s">
        <v>156</v>
      </c>
      <c r="J24" s="55" t="s">
        <v>156</v>
      </c>
      <c r="K24" s="55"/>
      <c r="L24" s="55" t="s">
        <v>156</v>
      </c>
      <c r="M24" s="55"/>
      <c r="N24" s="55"/>
      <c r="O24" s="55" t="s">
        <v>156</v>
      </c>
      <c r="P24" s="55"/>
      <c r="DS24" s="54" t="s">
        <v>176</v>
      </c>
      <c r="DT24" s="54" t="s">
        <v>176</v>
      </c>
      <c r="DU24" s="54" t="s">
        <v>176</v>
      </c>
      <c r="DV24" s="54" t="s">
        <v>176</v>
      </c>
      <c r="DW24" s="54"/>
      <c r="DX24" s="54" t="s">
        <v>176</v>
      </c>
      <c r="DY24" s="54" t="s">
        <v>176</v>
      </c>
      <c r="DZ24" s="54" t="s">
        <v>176</v>
      </c>
      <c r="EA24" s="54" t="s">
        <v>176</v>
      </c>
      <c r="EB24" s="54" t="s">
        <v>176</v>
      </c>
      <c r="EC24" s="54" t="s">
        <v>176</v>
      </c>
      <c r="ED24" s="54"/>
      <c r="EE24" s="54" t="s">
        <v>176</v>
      </c>
      <c r="EF24" s="54"/>
      <c r="EG24" s="54" t="s">
        <v>176</v>
      </c>
      <c r="EH24" s="54" t="s">
        <v>176</v>
      </c>
      <c r="EI24" s="54" t="s">
        <v>176</v>
      </c>
      <c r="EJ24" s="54"/>
      <c r="EK24" s="54" t="s">
        <v>176</v>
      </c>
      <c r="EL24" s="54"/>
      <c r="EM24" s="54" t="s">
        <v>176</v>
      </c>
      <c r="EN24" s="54" t="s">
        <v>176</v>
      </c>
      <c r="EO24" s="54" t="s">
        <v>176</v>
      </c>
      <c r="EP24" s="54" t="s">
        <v>176</v>
      </c>
      <c r="EQ24" s="54" t="s">
        <v>176</v>
      </c>
      <c r="ER24" s="54" t="s">
        <v>176</v>
      </c>
      <c r="ES24" s="54" t="s">
        <v>176</v>
      </c>
      <c r="ET24" s="54" t="s">
        <v>176</v>
      </c>
      <c r="EU24" s="54" t="s">
        <v>176</v>
      </c>
      <c r="EV24" s="54" t="s">
        <v>176</v>
      </c>
      <c r="EW24" s="54" t="s">
        <v>176</v>
      </c>
      <c r="EX24" s="54"/>
      <c r="EY24" s="54" t="s">
        <v>176</v>
      </c>
      <c r="EZ24" s="54" t="s">
        <v>176</v>
      </c>
      <c r="FA24" s="54" t="s">
        <v>176</v>
      </c>
      <c r="FB24" s="54" t="s">
        <v>176</v>
      </c>
      <c r="FC24" s="54" t="s">
        <v>176</v>
      </c>
      <c r="FD24" s="54" t="s">
        <v>176</v>
      </c>
      <c r="FE24" s="54" t="s">
        <v>176</v>
      </c>
    </row>
    <row r="25" spans="1:161" x14ac:dyDescent="0.25">
      <c r="A25" s="54" t="s">
        <v>176</v>
      </c>
      <c r="B25" s="55" t="s">
        <v>154</v>
      </c>
      <c r="C25" s="54" t="s">
        <v>176</v>
      </c>
      <c r="D25" s="55" t="s">
        <v>153</v>
      </c>
      <c r="E25" s="55" t="s">
        <v>33</v>
      </c>
      <c r="F25" s="54" t="s">
        <v>176</v>
      </c>
      <c r="G25" s="55" t="s">
        <v>157</v>
      </c>
      <c r="H25" s="55" t="s">
        <v>156</v>
      </c>
      <c r="I25" s="55" t="s">
        <v>156</v>
      </c>
      <c r="J25" s="55" t="s">
        <v>156</v>
      </c>
      <c r="K25" s="55"/>
      <c r="L25" s="55" t="s">
        <v>156</v>
      </c>
      <c r="M25" s="55"/>
      <c r="N25" s="55"/>
      <c r="O25" s="55" t="s">
        <v>156</v>
      </c>
      <c r="P25" s="55"/>
      <c r="DS25" s="54" t="s">
        <v>176</v>
      </c>
      <c r="DT25" s="54" t="s">
        <v>176</v>
      </c>
      <c r="DU25" s="54" t="s">
        <v>176</v>
      </c>
      <c r="DV25" s="54" t="s">
        <v>176</v>
      </c>
      <c r="DW25" s="54"/>
      <c r="DX25" s="54" t="s">
        <v>176</v>
      </c>
      <c r="DY25" s="54" t="s">
        <v>176</v>
      </c>
      <c r="DZ25" s="54" t="s">
        <v>176</v>
      </c>
      <c r="EA25" s="54" t="s">
        <v>176</v>
      </c>
      <c r="EB25" s="54" t="s">
        <v>176</v>
      </c>
      <c r="EC25" s="54" t="s">
        <v>176</v>
      </c>
      <c r="ED25" s="54"/>
      <c r="EE25" s="54" t="s">
        <v>176</v>
      </c>
      <c r="EF25" s="54"/>
      <c r="EG25" s="54" t="s">
        <v>176</v>
      </c>
      <c r="EH25" s="54" t="s">
        <v>176</v>
      </c>
      <c r="EI25" s="54" t="s">
        <v>176</v>
      </c>
      <c r="EJ25" s="54"/>
      <c r="EK25" s="54" t="s">
        <v>176</v>
      </c>
      <c r="EL25" s="54"/>
      <c r="EM25" s="54" t="s">
        <v>176</v>
      </c>
      <c r="EN25" s="54" t="s">
        <v>176</v>
      </c>
      <c r="EO25" s="54" t="s">
        <v>176</v>
      </c>
      <c r="EP25" s="54" t="s">
        <v>176</v>
      </c>
      <c r="EQ25" s="54" t="s">
        <v>176</v>
      </c>
      <c r="ER25" s="54" t="s">
        <v>176</v>
      </c>
      <c r="ES25" s="54" t="s">
        <v>176</v>
      </c>
      <c r="ET25" s="54" t="s">
        <v>176</v>
      </c>
      <c r="EU25" s="54" t="s">
        <v>176</v>
      </c>
      <c r="EV25" s="54" t="s">
        <v>176</v>
      </c>
      <c r="EW25" s="54" t="s">
        <v>176</v>
      </c>
      <c r="EX25" s="54"/>
      <c r="EY25" s="54" t="s">
        <v>176</v>
      </c>
      <c r="EZ25" s="54" t="s">
        <v>176</v>
      </c>
      <c r="FA25" s="54" t="s">
        <v>176</v>
      </c>
      <c r="FB25" s="54" t="s">
        <v>176</v>
      </c>
      <c r="FC25" s="54" t="s">
        <v>176</v>
      </c>
      <c r="FD25" s="54" t="s">
        <v>176</v>
      </c>
      <c r="FE25" s="54" t="s">
        <v>176</v>
      </c>
    </row>
    <row r="26" spans="1:161" x14ac:dyDescent="0.25">
      <c r="A26" s="54" t="s">
        <v>176</v>
      </c>
      <c r="B26" s="55" t="s">
        <v>154</v>
      </c>
      <c r="C26" s="54" t="s">
        <v>176</v>
      </c>
      <c r="D26" s="55" t="s">
        <v>153</v>
      </c>
      <c r="E26" s="55" t="s">
        <v>33</v>
      </c>
      <c r="F26" s="54" t="s">
        <v>176</v>
      </c>
      <c r="G26" s="55" t="s">
        <v>157</v>
      </c>
      <c r="H26" s="55" t="s">
        <v>156</v>
      </c>
      <c r="I26" s="55" t="s">
        <v>156</v>
      </c>
      <c r="J26" s="55" t="s">
        <v>156</v>
      </c>
      <c r="K26" s="55"/>
      <c r="L26" s="55" t="s">
        <v>156</v>
      </c>
      <c r="M26" s="55"/>
      <c r="N26" s="55"/>
      <c r="O26" s="55" t="s">
        <v>156</v>
      </c>
      <c r="P26" s="55"/>
    </row>
    <row r="27" spans="1:161" x14ac:dyDescent="0.25">
      <c r="A27" s="55">
        <v>35438506</v>
      </c>
      <c r="B27" s="55" t="s">
        <v>154</v>
      </c>
      <c r="C27" s="55" t="s">
        <v>175</v>
      </c>
      <c r="D27" s="55" t="s">
        <v>153</v>
      </c>
      <c r="E27" s="55" t="s">
        <v>33</v>
      </c>
      <c r="F27" s="55"/>
      <c r="G27" s="55" t="s">
        <v>157</v>
      </c>
      <c r="H27" s="55" t="s">
        <v>156</v>
      </c>
      <c r="I27" s="55" t="s">
        <v>156</v>
      </c>
      <c r="J27" s="55" t="s">
        <v>156</v>
      </c>
      <c r="K27" s="55"/>
      <c r="L27" s="55" t="s">
        <v>156</v>
      </c>
      <c r="M27" s="55"/>
      <c r="N27" s="55"/>
      <c r="O27" s="55" t="s">
        <v>156</v>
      </c>
      <c r="P27" s="55"/>
    </row>
    <row r="28" spans="1:161" x14ac:dyDescent="0.25">
      <c r="A28" s="54" t="s">
        <v>176</v>
      </c>
      <c r="B28" s="55" t="s">
        <v>154</v>
      </c>
      <c r="C28" s="54" t="s">
        <v>176</v>
      </c>
      <c r="D28" s="55" t="s">
        <v>153</v>
      </c>
      <c r="E28" s="55" t="s">
        <v>33</v>
      </c>
      <c r="F28" s="54" t="s">
        <v>176</v>
      </c>
      <c r="G28" s="55" t="s">
        <v>157</v>
      </c>
      <c r="H28" s="55" t="s">
        <v>156</v>
      </c>
      <c r="I28" s="55" t="s">
        <v>156</v>
      </c>
      <c r="J28" s="55" t="s">
        <v>156</v>
      </c>
      <c r="K28" s="55"/>
      <c r="L28" s="55" t="s">
        <v>156</v>
      </c>
      <c r="M28" s="55"/>
      <c r="N28" s="55"/>
      <c r="O28" s="55" t="s">
        <v>156</v>
      </c>
      <c r="P28" s="55"/>
    </row>
    <row r="29" spans="1:161" x14ac:dyDescent="0.25">
      <c r="A29" s="54" t="s">
        <v>176</v>
      </c>
      <c r="B29" s="55" t="s">
        <v>154</v>
      </c>
      <c r="C29" s="54" t="s">
        <v>176</v>
      </c>
      <c r="D29" s="55" t="s">
        <v>153</v>
      </c>
      <c r="E29" s="55" t="s">
        <v>33</v>
      </c>
      <c r="F29" s="54" t="s">
        <v>176</v>
      </c>
      <c r="G29" s="55" t="s">
        <v>157</v>
      </c>
      <c r="H29" s="55" t="s">
        <v>156</v>
      </c>
      <c r="I29" s="55" t="s">
        <v>156</v>
      </c>
      <c r="J29" s="55" t="s">
        <v>156</v>
      </c>
      <c r="K29" s="55"/>
      <c r="L29" s="55" t="s">
        <v>156</v>
      </c>
      <c r="M29" s="55"/>
      <c r="N29" s="55"/>
      <c r="O29" s="55" t="s">
        <v>156</v>
      </c>
      <c r="P29" s="55"/>
    </row>
    <row r="30" spans="1:161" x14ac:dyDescent="0.25">
      <c r="A30" s="55">
        <v>35325807</v>
      </c>
      <c r="B30" s="55" t="s">
        <v>154</v>
      </c>
      <c r="C30" s="55"/>
      <c r="D30" s="55" t="s">
        <v>153</v>
      </c>
      <c r="E30" s="55" t="s">
        <v>33</v>
      </c>
      <c r="F30" s="55"/>
      <c r="G30" s="55" t="s">
        <v>157</v>
      </c>
      <c r="H30" s="55" t="s">
        <v>156</v>
      </c>
      <c r="I30" s="55" t="s">
        <v>156</v>
      </c>
      <c r="J30" s="55" t="s">
        <v>156</v>
      </c>
      <c r="K30" s="55"/>
      <c r="L30" s="55" t="s">
        <v>156</v>
      </c>
      <c r="M30" s="55"/>
      <c r="N30" s="55"/>
      <c r="O30" s="55" t="s">
        <v>156</v>
      </c>
      <c r="P30" s="55"/>
    </row>
    <row r="31" spans="1:161" x14ac:dyDescent="0.25">
      <c r="A31" s="54" t="s">
        <v>176</v>
      </c>
      <c r="B31" s="55" t="s">
        <v>154</v>
      </c>
      <c r="C31" s="54" t="s">
        <v>176</v>
      </c>
      <c r="D31" s="55" t="s">
        <v>153</v>
      </c>
      <c r="E31" s="55" t="s">
        <v>33</v>
      </c>
      <c r="F31" s="54" t="s">
        <v>176</v>
      </c>
      <c r="G31" s="55" t="s">
        <v>157</v>
      </c>
      <c r="H31" s="55" t="s">
        <v>156</v>
      </c>
      <c r="I31" s="55" t="s">
        <v>156</v>
      </c>
      <c r="J31" s="55" t="s">
        <v>156</v>
      </c>
      <c r="K31" s="55"/>
      <c r="L31" s="55" t="s">
        <v>156</v>
      </c>
      <c r="M31" s="55"/>
      <c r="N31" s="55"/>
      <c r="O31" s="55" t="s">
        <v>156</v>
      </c>
      <c r="P31" s="55"/>
    </row>
    <row r="32" spans="1:161" x14ac:dyDescent="0.25">
      <c r="A32" s="54" t="s">
        <v>176</v>
      </c>
      <c r="B32" s="55" t="s">
        <v>154</v>
      </c>
      <c r="C32" s="54" t="s">
        <v>176</v>
      </c>
      <c r="D32" s="55" t="s">
        <v>153</v>
      </c>
      <c r="E32" s="55" t="s">
        <v>33</v>
      </c>
      <c r="F32" s="54" t="s">
        <v>176</v>
      </c>
      <c r="G32" s="55" t="s">
        <v>157</v>
      </c>
      <c r="H32" s="55" t="s">
        <v>156</v>
      </c>
      <c r="I32" s="55" t="s">
        <v>156</v>
      </c>
      <c r="J32" s="55" t="s">
        <v>156</v>
      </c>
      <c r="K32" s="55"/>
      <c r="L32" s="55" t="s">
        <v>156</v>
      </c>
      <c r="M32" s="55"/>
      <c r="N32" s="55"/>
      <c r="O32" s="55" t="s">
        <v>156</v>
      </c>
      <c r="P32" s="55"/>
    </row>
    <row r="33" spans="1:133" x14ac:dyDescent="0.25">
      <c r="A33" s="55">
        <v>35325817</v>
      </c>
      <c r="B33" s="55" t="s">
        <v>154</v>
      </c>
      <c r="C33" s="55" t="s">
        <v>177</v>
      </c>
      <c r="D33" s="55" t="s">
        <v>153</v>
      </c>
      <c r="E33" s="55" t="s">
        <v>51</v>
      </c>
      <c r="F33" s="54" t="s">
        <v>176</v>
      </c>
      <c r="G33" s="55" t="s">
        <v>157</v>
      </c>
      <c r="H33" s="55" t="s">
        <v>156</v>
      </c>
      <c r="I33" s="55" t="s">
        <v>156</v>
      </c>
      <c r="J33" s="55" t="s">
        <v>156</v>
      </c>
      <c r="K33" s="55"/>
      <c r="L33" s="55"/>
      <c r="M33" s="55"/>
      <c r="N33" s="55"/>
      <c r="O33" s="55"/>
      <c r="P33" s="55"/>
      <c r="AN33" s="55" t="s">
        <v>156</v>
      </c>
      <c r="AQ33" s="55" t="s">
        <v>156</v>
      </c>
      <c r="AS33" s="55" t="s">
        <v>156</v>
      </c>
      <c r="AU33" s="55" t="s">
        <v>156</v>
      </c>
      <c r="AW33" s="55" t="s">
        <v>156</v>
      </c>
      <c r="BA33" s="55" t="s">
        <v>156</v>
      </c>
      <c r="BC33" s="55" t="s">
        <v>156</v>
      </c>
      <c r="BE33" s="55" t="s">
        <v>156</v>
      </c>
      <c r="BG33" s="55" t="s">
        <v>156</v>
      </c>
      <c r="BI33" s="55" t="s">
        <v>156</v>
      </c>
      <c r="BK33" s="55" t="s">
        <v>156</v>
      </c>
      <c r="BM33" s="55" t="s">
        <v>156</v>
      </c>
      <c r="BO33" s="55" t="s">
        <v>156</v>
      </c>
      <c r="BQ33" s="55" t="s">
        <v>156</v>
      </c>
      <c r="BS33" s="55" t="s">
        <v>156</v>
      </c>
      <c r="BU33" s="55" t="s">
        <v>156</v>
      </c>
      <c r="CA33" s="55" t="s">
        <v>156</v>
      </c>
      <c r="CC33" s="55" t="s">
        <v>156</v>
      </c>
      <c r="CF33" s="55" t="s">
        <v>156</v>
      </c>
      <c r="CH33" s="55" t="s">
        <v>156</v>
      </c>
      <c r="CL33" s="55" t="s">
        <v>156</v>
      </c>
      <c r="CP33" s="55" t="s">
        <v>156</v>
      </c>
      <c r="CR33" s="55" t="s">
        <v>156</v>
      </c>
      <c r="CS33" s="55" t="s">
        <v>156</v>
      </c>
      <c r="CT33" s="55" t="s">
        <v>156</v>
      </c>
      <c r="CX33" s="55" t="s">
        <v>156</v>
      </c>
      <c r="DG33" s="55" t="s">
        <v>156</v>
      </c>
      <c r="DL33" s="55" t="s">
        <v>156</v>
      </c>
    </row>
    <row r="34" spans="1:133" x14ac:dyDescent="0.25">
      <c r="A34" s="54" t="s">
        <v>176</v>
      </c>
      <c r="B34" s="55" t="s">
        <v>154</v>
      </c>
      <c r="C34" s="54" t="s">
        <v>176</v>
      </c>
      <c r="D34" s="55" t="s">
        <v>153</v>
      </c>
      <c r="E34" s="55" t="s">
        <v>51</v>
      </c>
      <c r="F34" s="54" t="s">
        <v>176</v>
      </c>
      <c r="G34" s="55" t="s">
        <v>157</v>
      </c>
      <c r="H34" s="55" t="s">
        <v>156</v>
      </c>
      <c r="I34" s="55" t="s">
        <v>156</v>
      </c>
      <c r="J34" s="55" t="s">
        <v>156</v>
      </c>
      <c r="K34" s="55"/>
      <c r="L34" s="55"/>
      <c r="M34" s="55"/>
      <c r="N34" s="55"/>
      <c r="O34" s="55"/>
      <c r="P34" s="55"/>
    </row>
    <row r="35" spans="1:133" x14ac:dyDescent="0.25">
      <c r="A35" s="54" t="s">
        <v>176</v>
      </c>
      <c r="B35" s="55" t="s">
        <v>154</v>
      </c>
      <c r="C35" s="54" t="s">
        <v>176</v>
      </c>
      <c r="D35" s="55" t="s">
        <v>153</v>
      </c>
      <c r="E35" s="55" t="s">
        <v>51</v>
      </c>
      <c r="F35" s="54" t="s">
        <v>176</v>
      </c>
      <c r="G35" s="55" t="s">
        <v>157</v>
      </c>
      <c r="H35" s="55" t="s">
        <v>156</v>
      </c>
      <c r="I35" s="55" t="s">
        <v>156</v>
      </c>
      <c r="J35" s="55" t="s">
        <v>156</v>
      </c>
      <c r="K35" s="55"/>
      <c r="L35" s="55"/>
      <c r="M35" s="55"/>
      <c r="N35" s="55"/>
      <c r="O35" s="55"/>
      <c r="P35" s="55"/>
    </row>
    <row r="36" spans="1:133" x14ac:dyDescent="0.25">
      <c r="A36" s="55">
        <v>35325867</v>
      </c>
      <c r="B36" s="55" t="s">
        <v>154</v>
      </c>
      <c r="C36" s="55" t="s">
        <v>178</v>
      </c>
      <c r="D36" s="55" t="s">
        <v>153</v>
      </c>
      <c r="E36" s="55" t="s">
        <v>51</v>
      </c>
      <c r="F36" s="54" t="s">
        <v>176</v>
      </c>
      <c r="G36" s="55" t="s">
        <v>157</v>
      </c>
      <c r="H36" s="55" t="s">
        <v>156</v>
      </c>
      <c r="I36" s="55" t="s">
        <v>156</v>
      </c>
      <c r="J36" s="55" t="s">
        <v>156</v>
      </c>
      <c r="K36" s="55"/>
      <c r="L36" s="55"/>
      <c r="M36" s="55"/>
      <c r="N36" s="55"/>
      <c r="O36" s="55"/>
      <c r="P36" s="55"/>
      <c r="AN36" s="55" t="s">
        <v>156</v>
      </c>
      <c r="AQ36" s="55" t="s">
        <v>156</v>
      </c>
      <c r="AS36" s="55" t="s">
        <v>156</v>
      </c>
      <c r="AU36" s="55" t="s">
        <v>156</v>
      </c>
      <c r="AW36" s="55" t="s">
        <v>156</v>
      </c>
      <c r="BA36" s="55" t="s">
        <v>156</v>
      </c>
      <c r="BC36" s="55" t="s">
        <v>156</v>
      </c>
      <c r="BE36" s="55" t="s">
        <v>156</v>
      </c>
      <c r="BG36" s="55" t="s">
        <v>156</v>
      </c>
      <c r="BI36" s="55" t="s">
        <v>156</v>
      </c>
      <c r="BK36" s="55" t="s">
        <v>156</v>
      </c>
      <c r="BM36" s="55" t="s">
        <v>156</v>
      </c>
      <c r="BO36" s="55" t="s">
        <v>156</v>
      </c>
      <c r="BQ36" s="55" t="s">
        <v>156</v>
      </c>
      <c r="BS36" s="55" t="s">
        <v>156</v>
      </c>
      <c r="BU36" s="55" t="s">
        <v>156</v>
      </c>
      <c r="CA36" s="55" t="s">
        <v>156</v>
      </c>
      <c r="CC36" s="55" t="s">
        <v>156</v>
      </c>
      <c r="CF36" s="55" t="s">
        <v>156</v>
      </c>
      <c r="CH36" s="55" t="s">
        <v>156</v>
      </c>
      <c r="CL36" s="55" t="s">
        <v>156</v>
      </c>
      <c r="CP36" s="55" t="s">
        <v>156</v>
      </c>
      <c r="CR36" s="55" t="s">
        <v>156</v>
      </c>
      <c r="CS36" s="55" t="s">
        <v>156</v>
      </c>
      <c r="CT36" s="55" t="s">
        <v>156</v>
      </c>
      <c r="CX36" s="55" t="s">
        <v>156</v>
      </c>
      <c r="DG36" s="55" t="s">
        <v>156</v>
      </c>
      <c r="DL36" s="55" t="s">
        <v>156</v>
      </c>
    </row>
    <row r="37" spans="1:133" x14ac:dyDescent="0.25">
      <c r="A37" s="54" t="s">
        <v>176</v>
      </c>
      <c r="B37" s="55" t="s">
        <v>154</v>
      </c>
      <c r="C37" s="54" t="s">
        <v>176</v>
      </c>
      <c r="D37" s="55" t="s">
        <v>153</v>
      </c>
      <c r="E37" s="55" t="s">
        <v>51</v>
      </c>
      <c r="F37" s="54" t="s">
        <v>176</v>
      </c>
      <c r="G37" s="55" t="s">
        <v>157</v>
      </c>
      <c r="H37" s="55" t="s">
        <v>156</v>
      </c>
      <c r="I37" s="55" t="s">
        <v>156</v>
      </c>
      <c r="J37" s="55" t="s">
        <v>156</v>
      </c>
      <c r="K37" s="55"/>
      <c r="L37" s="55"/>
      <c r="M37" s="55"/>
      <c r="N37" s="55"/>
      <c r="O37" s="55"/>
      <c r="P37" s="55"/>
      <c r="R37" s="63"/>
      <c r="AM37" s="64"/>
    </row>
    <row r="38" spans="1:133" x14ac:dyDescent="0.25">
      <c r="A38" s="54" t="s">
        <v>176</v>
      </c>
      <c r="B38" s="55" t="s">
        <v>154</v>
      </c>
      <c r="C38" s="54" t="s">
        <v>176</v>
      </c>
      <c r="D38" s="55" t="s">
        <v>153</v>
      </c>
      <c r="E38" s="55" t="s">
        <v>51</v>
      </c>
      <c r="F38" s="54" t="s">
        <v>176</v>
      </c>
      <c r="G38" s="55" t="s">
        <v>157</v>
      </c>
      <c r="H38" s="55" t="s">
        <v>156</v>
      </c>
      <c r="I38" s="55" t="s">
        <v>156</v>
      </c>
      <c r="J38" s="55" t="s">
        <v>156</v>
      </c>
      <c r="K38" s="55"/>
      <c r="L38" s="55"/>
      <c r="M38" s="55"/>
      <c r="N38" s="55"/>
      <c r="O38" s="55"/>
      <c r="P38" s="55"/>
      <c r="R38" s="63"/>
      <c r="AM38" s="64"/>
    </row>
    <row r="39" spans="1:133" x14ac:dyDescent="0.25">
      <c r="A39" s="54" t="s">
        <v>176</v>
      </c>
      <c r="B39" s="55" t="s">
        <v>154</v>
      </c>
      <c r="C39" s="54" t="s">
        <v>176</v>
      </c>
      <c r="D39" s="55" t="s">
        <v>153</v>
      </c>
      <c r="E39" s="55" t="s">
        <v>51</v>
      </c>
      <c r="F39" s="54" t="s">
        <v>176</v>
      </c>
      <c r="G39" s="54" t="s">
        <v>176</v>
      </c>
      <c r="H39" s="54" t="s">
        <v>176</v>
      </c>
      <c r="I39" s="54" t="s">
        <v>176</v>
      </c>
      <c r="J39" s="54" t="s">
        <v>176</v>
      </c>
      <c r="K39" s="54" t="s">
        <v>176</v>
      </c>
      <c r="L39" s="54" t="s">
        <v>176</v>
      </c>
      <c r="M39" s="54"/>
      <c r="N39" s="54" t="s">
        <v>176</v>
      </c>
      <c r="O39" s="54" t="s">
        <v>176</v>
      </c>
      <c r="P39" s="54"/>
      <c r="Q39" s="54" t="s">
        <v>176</v>
      </c>
      <c r="R39" s="54" t="s">
        <v>176</v>
      </c>
      <c r="S39" s="54" t="s">
        <v>176</v>
      </c>
      <c r="T39" s="54" t="s">
        <v>176</v>
      </c>
      <c r="U39" s="54" t="s">
        <v>176</v>
      </c>
      <c r="V39" s="54" t="s">
        <v>176</v>
      </c>
      <c r="W39" s="54" t="s">
        <v>176</v>
      </c>
      <c r="X39" s="54" t="s">
        <v>176</v>
      </c>
      <c r="Y39" s="54" t="s">
        <v>176</v>
      </c>
      <c r="Z39" s="54" t="s">
        <v>176</v>
      </c>
      <c r="AA39" s="54" t="s">
        <v>176</v>
      </c>
      <c r="AB39" s="54" t="s">
        <v>176</v>
      </c>
      <c r="AC39" s="54" t="s">
        <v>176</v>
      </c>
      <c r="AD39" s="54" t="s">
        <v>176</v>
      </c>
      <c r="AE39" s="54" t="s">
        <v>176</v>
      </c>
      <c r="AF39" s="54" t="s">
        <v>176</v>
      </c>
      <c r="AG39" s="54" t="s">
        <v>176</v>
      </c>
      <c r="AH39" s="54" t="s">
        <v>176</v>
      </c>
      <c r="AI39" s="54" t="s">
        <v>176</v>
      </c>
      <c r="AJ39" s="54" t="s">
        <v>176</v>
      </c>
      <c r="AK39" s="54" t="s">
        <v>176</v>
      </c>
      <c r="AL39" s="54" t="s">
        <v>176</v>
      </c>
      <c r="AM39" s="54" t="s">
        <v>176</v>
      </c>
      <c r="AN39" s="54" t="s">
        <v>176</v>
      </c>
      <c r="AO39" s="54"/>
      <c r="AP39" s="54"/>
      <c r="AQ39" s="54" t="s">
        <v>176</v>
      </c>
      <c r="AR39" s="54"/>
      <c r="AS39" s="54" t="s">
        <v>176</v>
      </c>
      <c r="AT39" s="54"/>
      <c r="AU39" s="54" t="s">
        <v>176</v>
      </c>
      <c r="AV39" s="54"/>
      <c r="AW39" s="54" t="s">
        <v>176</v>
      </c>
      <c r="AX39" s="54"/>
      <c r="AY39" s="54" t="s">
        <v>176</v>
      </c>
      <c r="AZ39" s="54"/>
      <c r="BA39" s="54" t="s">
        <v>176</v>
      </c>
      <c r="BB39" s="54"/>
      <c r="BC39" s="54" t="s">
        <v>176</v>
      </c>
      <c r="BD39" s="54"/>
      <c r="BE39" s="54" t="s">
        <v>176</v>
      </c>
      <c r="BF39" s="54"/>
      <c r="BG39" s="54" t="s">
        <v>176</v>
      </c>
      <c r="BH39" s="54"/>
      <c r="BI39" s="54" t="s">
        <v>176</v>
      </c>
      <c r="BJ39" s="54"/>
      <c r="BK39" s="54" t="s">
        <v>176</v>
      </c>
      <c r="BL39" s="54"/>
      <c r="BM39" s="54" t="s">
        <v>176</v>
      </c>
      <c r="BN39" s="54"/>
      <c r="BO39" s="54" t="s">
        <v>176</v>
      </c>
      <c r="BP39" s="54"/>
      <c r="BQ39" s="54" t="s">
        <v>176</v>
      </c>
      <c r="BR39" s="54"/>
      <c r="BS39" s="54" t="s">
        <v>176</v>
      </c>
      <c r="BT39" s="54"/>
      <c r="BU39" s="54" t="s">
        <v>176</v>
      </c>
      <c r="BV39" s="54"/>
      <c r="BW39" s="54" t="s">
        <v>176</v>
      </c>
      <c r="BX39" s="54" t="s">
        <v>176</v>
      </c>
      <c r="BY39" s="54" t="s">
        <v>176</v>
      </c>
      <c r="BZ39" s="54" t="s">
        <v>176</v>
      </c>
      <c r="CA39" s="54" t="s">
        <v>176</v>
      </c>
      <c r="CB39" s="54"/>
      <c r="CC39" s="54" t="s">
        <v>176</v>
      </c>
      <c r="CD39" s="54"/>
      <c r="CE39" s="54" t="s">
        <v>176</v>
      </c>
      <c r="CF39" s="54" t="s">
        <v>176</v>
      </c>
      <c r="CG39" s="54" t="s">
        <v>176</v>
      </c>
      <c r="CH39" s="54" t="s">
        <v>176</v>
      </c>
      <c r="CI39" s="54" t="s">
        <v>176</v>
      </c>
      <c r="CJ39" s="54" t="s">
        <v>176</v>
      </c>
      <c r="CK39" s="54" t="s">
        <v>176</v>
      </c>
      <c r="CL39" s="54" t="s">
        <v>176</v>
      </c>
      <c r="CM39" s="54" t="s">
        <v>176</v>
      </c>
      <c r="CN39" s="54" t="s">
        <v>176</v>
      </c>
      <c r="CO39" s="54" t="s">
        <v>176</v>
      </c>
      <c r="CP39" s="54" t="s">
        <v>176</v>
      </c>
      <c r="CQ39" s="54" t="s">
        <v>176</v>
      </c>
      <c r="CR39" s="54" t="s">
        <v>176</v>
      </c>
      <c r="CS39" s="54" t="s">
        <v>176</v>
      </c>
      <c r="CT39" s="54" t="s">
        <v>176</v>
      </c>
      <c r="CU39" s="54" t="s">
        <v>176</v>
      </c>
      <c r="CV39" s="54" t="s">
        <v>176</v>
      </c>
      <c r="CW39" s="54" t="s">
        <v>176</v>
      </c>
      <c r="CX39" s="54" t="s">
        <v>176</v>
      </c>
      <c r="CY39" s="54" t="s">
        <v>176</v>
      </c>
      <c r="CZ39" s="54" t="s">
        <v>176</v>
      </c>
      <c r="DA39" s="54" t="s">
        <v>176</v>
      </c>
      <c r="DB39" s="54" t="s">
        <v>176</v>
      </c>
      <c r="DC39" s="54" t="s">
        <v>176</v>
      </c>
      <c r="DD39" s="54" t="s">
        <v>176</v>
      </c>
      <c r="DE39" s="54" t="s">
        <v>176</v>
      </c>
      <c r="DF39" s="54" t="s">
        <v>176</v>
      </c>
      <c r="DG39" s="54" t="s">
        <v>176</v>
      </c>
      <c r="DH39" s="54" t="s">
        <v>176</v>
      </c>
      <c r="DI39" s="54" t="s">
        <v>176</v>
      </c>
      <c r="DJ39" s="54" t="s">
        <v>176</v>
      </c>
      <c r="DK39" s="54" t="s">
        <v>176</v>
      </c>
      <c r="DL39" s="54" t="s">
        <v>176</v>
      </c>
      <c r="DM39" s="54" t="s">
        <v>176</v>
      </c>
      <c r="DN39" s="54" t="s">
        <v>176</v>
      </c>
      <c r="DO39" s="54" t="s">
        <v>176</v>
      </c>
      <c r="DP39" s="54" t="s">
        <v>176</v>
      </c>
      <c r="DQ39" s="54" t="s">
        <v>176</v>
      </c>
      <c r="DR39" s="54" t="s">
        <v>176</v>
      </c>
    </row>
    <row r="40" spans="1:133" x14ac:dyDescent="0.25">
      <c r="A40" s="55">
        <v>35226005</v>
      </c>
      <c r="B40" s="55" t="s">
        <v>179</v>
      </c>
      <c r="C40" s="55" t="s">
        <v>180</v>
      </c>
      <c r="D40" s="55" t="s">
        <v>184</v>
      </c>
      <c r="E40" s="55" t="s">
        <v>33</v>
      </c>
      <c r="F40" s="54" t="s">
        <v>176</v>
      </c>
      <c r="G40" s="55" t="s">
        <v>181</v>
      </c>
      <c r="H40" s="55" t="s">
        <v>156</v>
      </c>
      <c r="I40" s="55" t="s">
        <v>156</v>
      </c>
      <c r="J40" s="55" t="s">
        <v>156</v>
      </c>
      <c r="K40" s="55"/>
      <c r="L40" s="55" t="s">
        <v>156</v>
      </c>
      <c r="M40" s="55"/>
      <c r="N40" s="55"/>
      <c r="O40" s="55" t="s">
        <v>156</v>
      </c>
      <c r="P40" s="55"/>
      <c r="AN40" s="55" t="s">
        <v>156</v>
      </c>
      <c r="AQ40" s="55" t="s">
        <v>156</v>
      </c>
      <c r="AS40" s="55" t="s">
        <v>156</v>
      </c>
      <c r="AU40" s="55" t="s">
        <v>156</v>
      </c>
      <c r="AW40" s="55" t="s">
        <v>156</v>
      </c>
      <c r="BA40" s="55" t="s">
        <v>156</v>
      </c>
      <c r="BC40" s="55" t="s">
        <v>156</v>
      </c>
      <c r="BE40" s="55" t="s">
        <v>156</v>
      </c>
      <c r="BG40" s="55" t="s">
        <v>156</v>
      </c>
      <c r="BI40" s="55" t="s">
        <v>156</v>
      </c>
      <c r="BK40" s="55" t="s">
        <v>156</v>
      </c>
      <c r="BM40" s="55" t="s">
        <v>156</v>
      </c>
      <c r="BO40" s="55" t="s">
        <v>156</v>
      </c>
      <c r="BQ40" s="55" t="s">
        <v>156</v>
      </c>
      <c r="BS40" s="55" t="s">
        <v>156</v>
      </c>
      <c r="BU40" s="55" t="s">
        <v>156</v>
      </c>
      <c r="CA40" s="55" t="s">
        <v>156</v>
      </c>
      <c r="CC40" s="55" t="s">
        <v>156</v>
      </c>
      <c r="CF40" s="55" t="s">
        <v>156</v>
      </c>
      <c r="CH40" s="55" t="s">
        <v>156</v>
      </c>
      <c r="CL40" s="55" t="s">
        <v>156</v>
      </c>
      <c r="CP40" s="55" t="s">
        <v>156</v>
      </c>
      <c r="CR40" s="55" t="s">
        <v>156</v>
      </c>
      <c r="CS40" s="55" t="s">
        <v>156</v>
      </c>
      <c r="CT40" s="55" t="s">
        <v>156</v>
      </c>
      <c r="CX40" s="55" t="s">
        <v>156</v>
      </c>
      <c r="DG40" s="55" t="s">
        <v>156</v>
      </c>
      <c r="DL40" s="55" t="s">
        <v>156</v>
      </c>
    </row>
    <row r="41" spans="1:133" x14ac:dyDescent="0.25">
      <c r="A41" s="54" t="s">
        <v>176</v>
      </c>
      <c r="B41" s="55" t="s">
        <v>179</v>
      </c>
      <c r="C41" s="54" t="s">
        <v>176</v>
      </c>
      <c r="D41" s="54" t="s">
        <v>176</v>
      </c>
      <c r="E41" s="54" t="s">
        <v>176</v>
      </c>
      <c r="F41" s="54" t="s">
        <v>176</v>
      </c>
      <c r="G41" s="54" t="s">
        <v>176</v>
      </c>
      <c r="H41" s="55" t="s">
        <v>156</v>
      </c>
      <c r="I41" s="55" t="s">
        <v>156</v>
      </c>
      <c r="J41" s="55" t="s">
        <v>156</v>
      </c>
      <c r="K41" s="55"/>
      <c r="L41" s="55"/>
      <c r="M41" s="55"/>
      <c r="N41" s="55"/>
      <c r="O41" s="55"/>
      <c r="P41" s="55"/>
      <c r="R41" s="63"/>
      <c r="AM41" s="65"/>
      <c r="AN41" s="45"/>
      <c r="AO41" s="133"/>
      <c r="AP41" s="133"/>
      <c r="AQ41" s="45"/>
      <c r="AR41" s="133"/>
      <c r="AS41" s="45"/>
      <c r="AT41" s="133"/>
      <c r="AU41" s="45"/>
      <c r="AV41" s="133"/>
      <c r="AW41" s="45"/>
      <c r="AX41" s="133"/>
      <c r="AY41" s="45"/>
      <c r="AZ41" s="133"/>
      <c r="BA41" s="45"/>
      <c r="BB41" s="133"/>
      <c r="BC41" s="45"/>
      <c r="BD41" s="133"/>
      <c r="BE41" s="45"/>
      <c r="BF41" s="133"/>
      <c r="BG41" s="45"/>
      <c r="BH41" s="133"/>
      <c r="BI41" s="45"/>
      <c r="BJ41" s="133"/>
      <c r="BK41" s="45"/>
      <c r="BL41" s="133"/>
      <c r="BM41" s="45"/>
      <c r="BN41" s="133"/>
      <c r="BO41" s="45"/>
      <c r="BP41" s="133"/>
      <c r="BQ41" s="45"/>
      <c r="BR41" s="133"/>
      <c r="BS41" s="45"/>
      <c r="BT41" s="133"/>
      <c r="BU41" s="45"/>
      <c r="BV41" s="133"/>
      <c r="BW41" s="45"/>
      <c r="BX41" s="45"/>
      <c r="BY41" s="45"/>
      <c r="BZ41" s="45"/>
      <c r="CA41" s="45"/>
      <c r="CB41" s="133"/>
      <c r="CC41" s="45"/>
      <c r="CD41" s="133"/>
      <c r="CE41" s="45"/>
      <c r="CF41" s="45"/>
      <c r="CG41" s="45"/>
      <c r="CH41" s="45"/>
      <c r="CI41" s="45"/>
      <c r="CJ41" s="45"/>
      <c r="CK41" s="45"/>
      <c r="EB41" s="256"/>
      <c r="EC41" s="256"/>
    </row>
    <row r="42" spans="1:133" x14ac:dyDescent="0.25">
      <c r="A42" s="54" t="s">
        <v>176</v>
      </c>
      <c r="B42" s="55" t="s">
        <v>179</v>
      </c>
      <c r="C42" s="54" t="s">
        <v>176</v>
      </c>
      <c r="D42" s="54" t="s">
        <v>176</v>
      </c>
      <c r="E42" s="54" t="s">
        <v>176</v>
      </c>
      <c r="F42" s="54" t="s">
        <v>176</v>
      </c>
      <c r="G42" s="54" t="s">
        <v>176</v>
      </c>
      <c r="H42" s="55" t="s">
        <v>156</v>
      </c>
      <c r="I42" s="55" t="s">
        <v>156</v>
      </c>
      <c r="J42" s="55" t="s">
        <v>156</v>
      </c>
      <c r="K42" s="55"/>
      <c r="L42" s="55"/>
      <c r="M42" s="55"/>
      <c r="N42" s="55"/>
      <c r="O42" s="55"/>
      <c r="P42" s="55"/>
      <c r="EB42" s="256"/>
      <c r="EC42" s="256"/>
    </row>
    <row r="43" spans="1:133" x14ac:dyDescent="0.25">
      <c r="A43" s="55">
        <v>35951406</v>
      </c>
      <c r="B43" s="55" t="s">
        <v>179</v>
      </c>
      <c r="C43" s="55" t="s">
        <v>182</v>
      </c>
      <c r="D43" s="55" t="s">
        <v>184</v>
      </c>
      <c r="E43" s="55" t="s">
        <v>51</v>
      </c>
      <c r="F43" s="54" t="s">
        <v>176</v>
      </c>
      <c r="G43" s="55" t="s">
        <v>181</v>
      </c>
      <c r="H43" s="55" t="s">
        <v>156</v>
      </c>
      <c r="I43" s="55" t="s">
        <v>156</v>
      </c>
      <c r="J43" s="55" t="s">
        <v>156</v>
      </c>
      <c r="K43" s="55"/>
      <c r="L43" s="55"/>
      <c r="M43" s="55"/>
      <c r="N43" s="55"/>
      <c r="O43" s="55"/>
      <c r="P43" s="55"/>
      <c r="AN43" s="55" t="s">
        <v>156</v>
      </c>
      <c r="AQ43" s="55" t="s">
        <v>156</v>
      </c>
      <c r="AS43" s="55" t="s">
        <v>156</v>
      </c>
      <c r="AU43" s="55" t="s">
        <v>156</v>
      </c>
      <c r="AW43" s="55" t="s">
        <v>156</v>
      </c>
      <c r="BA43" s="55" t="s">
        <v>156</v>
      </c>
      <c r="BC43" s="55" t="s">
        <v>156</v>
      </c>
      <c r="BE43" s="55" t="s">
        <v>156</v>
      </c>
      <c r="BG43" s="55" t="s">
        <v>156</v>
      </c>
      <c r="BI43" s="55" t="s">
        <v>156</v>
      </c>
      <c r="BK43" s="55" t="s">
        <v>156</v>
      </c>
      <c r="BM43" s="55" t="s">
        <v>156</v>
      </c>
      <c r="BO43" s="55" t="s">
        <v>156</v>
      </c>
      <c r="BQ43" s="55" t="s">
        <v>156</v>
      </c>
      <c r="BS43" s="55" t="s">
        <v>156</v>
      </c>
      <c r="BU43" s="55" t="s">
        <v>156</v>
      </c>
      <c r="CA43" s="55" t="s">
        <v>156</v>
      </c>
      <c r="CC43" s="55" t="s">
        <v>156</v>
      </c>
      <c r="CF43" s="55" t="s">
        <v>156</v>
      </c>
      <c r="CH43" s="55" t="s">
        <v>156</v>
      </c>
      <c r="CL43" s="55" t="s">
        <v>156</v>
      </c>
      <c r="CP43" s="55" t="s">
        <v>156</v>
      </c>
      <c r="CR43" s="55" t="s">
        <v>156</v>
      </c>
      <c r="CS43" s="55" t="s">
        <v>156</v>
      </c>
      <c r="CT43" s="55" t="s">
        <v>156</v>
      </c>
      <c r="CX43" s="55" t="s">
        <v>156</v>
      </c>
      <c r="DG43" s="55" t="s">
        <v>156</v>
      </c>
      <c r="DL43" s="55" t="s">
        <v>156</v>
      </c>
      <c r="EB43" s="256"/>
      <c r="EC43" s="256"/>
    </row>
    <row r="44" spans="1:133" x14ac:dyDescent="0.25">
      <c r="A44" s="54" t="s">
        <v>176</v>
      </c>
      <c r="B44" s="55" t="s">
        <v>179</v>
      </c>
      <c r="C44" s="54" t="s">
        <v>176</v>
      </c>
      <c r="D44" s="54" t="s">
        <v>176</v>
      </c>
      <c r="E44" s="54" t="s">
        <v>176</v>
      </c>
      <c r="F44" s="54" t="s">
        <v>176</v>
      </c>
      <c r="G44" s="54" t="s">
        <v>176</v>
      </c>
      <c r="H44" s="55" t="s">
        <v>156</v>
      </c>
      <c r="I44" s="55" t="s">
        <v>156</v>
      </c>
      <c r="J44" s="55" t="s">
        <v>156</v>
      </c>
      <c r="K44" s="55"/>
      <c r="L44" s="55"/>
      <c r="M44" s="55"/>
      <c r="N44" s="55"/>
      <c r="O44" s="55"/>
      <c r="P44" s="55"/>
      <c r="EB44" s="256"/>
      <c r="EC44" s="256"/>
    </row>
    <row r="45" spans="1:133" x14ac:dyDescent="0.25">
      <c r="A45" s="54" t="s">
        <v>176</v>
      </c>
      <c r="B45" s="55" t="s">
        <v>179</v>
      </c>
      <c r="C45" s="54" t="s">
        <v>176</v>
      </c>
      <c r="D45" s="55"/>
      <c r="E45" s="55"/>
      <c r="F45" s="54" t="s">
        <v>176</v>
      </c>
      <c r="G45" s="55"/>
      <c r="H45" s="55"/>
      <c r="I45" s="55"/>
      <c r="J45" s="55"/>
      <c r="K45" s="55"/>
      <c r="L45" s="55"/>
      <c r="M45" s="55"/>
      <c r="N45" s="55"/>
      <c r="O45" s="55"/>
      <c r="P45" s="55"/>
      <c r="EB45" s="256"/>
      <c r="EC45" s="256"/>
    </row>
    <row r="46" spans="1:133" ht="29.25" customHeight="1" x14ac:dyDescent="0.25">
      <c r="A46" s="55">
        <v>35912436</v>
      </c>
      <c r="B46" s="55" t="s">
        <v>179</v>
      </c>
      <c r="C46" s="55" t="s">
        <v>183</v>
      </c>
      <c r="D46" s="55" t="s">
        <v>184</v>
      </c>
      <c r="E46" s="57" t="s">
        <v>29</v>
      </c>
      <c r="F46" s="54" t="s">
        <v>176</v>
      </c>
      <c r="G46" s="55" t="s">
        <v>181</v>
      </c>
      <c r="H46" s="55" t="s">
        <v>156</v>
      </c>
      <c r="I46" s="55" t="s">
        <v>156</v>
      </c>
      <c r="J46" s="55" t="s">
        <v>156</v>
      </c>
      <c r="K46" s="55"/>
      <c r="L46" s="55"/>
      <c r="M46" s="55"/>
      <c r="N46" s="55"/>
      <c r="O46" s="55"/>
      <c r="P46" s="55"/>
      <c r="AN46" s="55" t="s">
        <v>156</v>
      </c>
      <c r="AQ46" s="55" t="s">
        <v>156</v>
      </c>
      <c r="AS46" s="55" t="s">
        <v>156</v>
      </c>
      <c r="AU46" s="55" t="s">
        <v>156</v>
      </c>
      <c r="AW46" s="55" t="s">
        <v>156</v>
      </c>
      <c r="BA46" s="55" t="s">
        <v>156</v>
      </c>
      <c r="EB46" s="256"/>
      <c r="EC46" s="256"/>
    </row>
    <row r="47" spans="1:133" ht="43.5" customHeight="1" x14ac:dyDescent="0.25">
      <c r="A47" s="54" t="s">
        <v>176</v>
      </c>
      <c r="B47" s="54" t="s">
        <v>176</v>
      </c>
      <c r="C47" s="54" t="s">
        <v>176</v>
      </c>
      <c r="D47" s="54" t="s">
        <v>176</v>
      </c>
      <c r="E47" s="54" t="s">
        <v>176</v>
      </c>
      <c r="F47" s="54" t="s">
        <v>176</v>
      </c>
      <c r="G47" s="54" t="s">
        <v>176</v>
      </c>
      <c r="H47" s="54" t="s">
        <v>176</v>
      </c>
      <c r="I47" s="54" t="s">
        <v>176</v>
      </c>
      <c r="J47" s="54" t="s">
        <v>176</v>
      </c>
      <c r="K47" s="54" t="s">
        <v>176</v>
      </c>
      <c r="L47" s="54" t="s">
        <v>176</v>
      </c>
      <c r="M47" s="54"/>
      <c r="N47" s="54" t="s">
        <v>176</v>
      </c>
      <c r="O47" s="54" t="s">
        <v>176</v>
      </c>
      <c r="P47" s="54"/>
      <c r="Q47" s="54" t="s">
        <v>176</v>
      </c>
      <c r="R47" s="54" t="s">
        <v>176</v>
      </c>
      <c r="S47" s="54" t="s">
        <v>176</v>
      </c>
      <c r="T47" s="54" t="s">
        <v>176</v>
      </c>
      <c r="U47" s="54" t="s">
        <v>176</v>
      </c>
      <c r="V47" s="54" t="s">
        <v>176</v>
      </c>
      <c r="W47" s="54" t="s">
        <v>176</v>
      </c>
      <c r="X47" s="54" t="s">
        <v>176</v>
      </c>
      <c r="Y47" s="54" t="s">
        <v>176</v>
      </c>
      <c r="Z47" s="54" t="s">
        <v>176</v>
      </c>
      <c r="AA47" s="54" t="s">
        <v>176</v>
      </c>
      <c r="AB47" s="54" t="s">
        <v>176</v>
      </c>
      <c r="AC47" s="54" t="s">
        <v>176</v>
      </c>
      <c r="AD47" s="54" t="s">
        <v>176</v>
      </c>
      <c r="AE47" s="54" t="s">
        <v>176</v>
      </c>
      <c r="AF47" s="54" t="s">
        <v>176</v>
      </c>
      <c r="AG47" s="54" t="s">
        <v>176</v>
      </c>
      <c r="AH47" s="54" t="s">
        <v>176</v>
      </c>
      <c r="AI47" s="54" t="s">
        <v>176</v>
      </c>
      <c r="AJ47" s="54" t="s">
        <v>176</v>
      </c>
      <c r="AK47" s="54" t="s">
        <v>176</v>
      </c>
      <c r="AL47" s="54" t="s">
        <v>176</v>
      </c>
      <c r="AM47" s="54" t="s">
        <v>176</v>
      </c>
      <c r="AN47" s="54" t="s">
        <v>176</v>
      </c>
      <c r="AO47" s="54"/>
      <c r="AP47" s="54"/>
      <c r="AQ47" s="54" t="s">
        <v>176</v>
      </c>
      <c r="AR47" s="54"/>
      <c r="AS47" s="54" t="s">
        <v>176</v>
      </c>
      <c r="AT47" s="54"/>
      <c r="AU47" s="54" t="s">
        <v>176</v>
      </c>
      <c r="AV47" s="54"/>
      <c r="AW47" s="54" t="s">
        <v>176</v>
      </c>
      <c r="AX47" s="54"/>
      <c r="AY47" s="54" t="s">
        <v>176</v>
      </c>
      <c r="AZ47" s="54"/>
      <c r="BA47" s="54" t="s">
        <v>176</v>
      </c>
      <c r="BB47" s="54"/>
      <c r="BC47" s="54" t="s">
        <v>176</v>
      </c>
      <c r="BD47" s="54"/>
      <c r="BE47" s="54" t="s">
        <v>176</v>
      </c>
      <c r="BF47" s="54"/>
      <c r="BG47" s="54" t="s">
        <v>176</v>
      </c>
      <c r="BH47" s="54"/>
      <c r="BI47" s="54" t="s">
        <v>176</v>
      </c>
      <c r="BJ47" s="54"/>
      <c r="BK47" s="54" t="s">
        <v>176</v>
      </c>
      <c r="BL47" s="54"/>
      <c r="BM47" s="54" t="s">
        <v>176</v>
      </c>
      <c r="BN47" s="54"/>
      <c r="BO47" s="54" t="s">
        <v>176</v>
      </c>
      <c r="BP47" s="54"/>
      <c r="BQ47" s="54" t="s">
        <v>176</v>
      </c>
      <c r="BR47" s="54"/>
      <c r="BS47" s="54" t="s">
        <v>176</v>
      </c>
      <c r="BT47" s="54"/>
      <c r="BU47" s="54" t="s">
        <v>176</v>
      </c>
      <c r="BV47" s="54"/>
      <c r="BW47" s="54" t="s">
        <v>176</v>
      </c>
      <c r="BX47" s="54" t="s">
        <v>176</v>
      </c>
      <c r="BY47" s="54" t="s">
        <v>176</v>
      </c>
      <c r="BZ47" s="54" t="s">
        <v>176</v>
      </c>
      <c r="CA47" s="54" t="s">
        <v>176</v>
      </c>
      <c r="CB47" s="54"/>
      <c r="EB47" s="256"/>
      <c r="EC47" s="256"/>
    </row>
    <row r="48" spans="1:133" ht="30.75" customHeight="1" x14ac:dyDescent="0.25">
      <c r="A48" s="54" t="s">
        <v>176</v>
      </c>
      <c r="B48" s="54" t="s">
        <v>176</v>
      </c>
      <c r="C48" s="54" t="s">
        <v>176</v>
      </c>
      <c r="D48" s="54" t="s">
        <v>176</v>
      </c>
      <c r="E48" s="54" t="s">
        <v>176</v>
      </c>
      <c r="F48" s="54" t="s">
        <v>176</v>
      </c>
      <c r="G48" s="54" t="s">
        <v>176</v>
      </c>
      <c r="H48" s="54" t="s">
        <v>176</v>
      </c>
      <c r="I48" s="54" t="s">
        <v>176</v>
      </c>
      <c r="J48" s="54" t="s">
        <v>176</v>
      </c>
      <c r="K48" s="54" t="s">
        <v>176</v>
      </c>
      <c r="L48" s="54" t="s">
        <v>176</v>
      </c>
      <c r="M48" s="54"/>
      <c r="N48" s="54" t="s">
        <v>176</v>
      </c>
      <c r="O48" s="54" t="s">
        <v>176</v>
      </c>
      <c r="P48" s="54"/>
      <c r="Q48" s="54" t="s">
        <v>176</v>
      </c>
      <c r="R48" s="54" t="s">
        <v>176</v>
      </c>
      <c r="S48" s="54" t="s">
        <v>176</v>
      </c>
      <c r="T48" s="54" t="s">
        <v>176</v>
      </c>
      <c r="U48" s="54" t="s">
        <v>176</v>
      </c>
      <c r="V48" s="54" t="s">
        <v>176</v>
      </c>
      <c r="W48" s="54" t="s">
        <v>176</v>
      </c>
      <c r="X48" s="54" t="s">
        <v>176</v>
      </c>
      <c r="Y48" s="54" t="s">
        <v>176</v>
      </c>
      <c r="Z48" s="54" t="s">
        <v>176</v>
      </c>
      <c r="AA48" s="54" t="s">
        <v>176</v>
      </c>
      <c r="AB48" s="54" t="s">
        <v>176</v>
      </c>
      <c r="AC48" s="54" t="s">
        <v>176</v>
      </c>
      <c r="AD48" s="54" t="s">
        <v>176</v>
      </c>
      <c r="AE48" s="54" t="s">
        <v>176</v>
      </c>
      <c r="AF48" s="54" t="s">
        <v>176</v>
      </c>
      <c r="AG48" s="54" t="s">
        <v>176</v>
      </c>
      <c r="AH48" s="54" t="s">
        <v>176</v>
      </c>
      <c r="AI48" s="54" t="s">
        <v>176</v>
      </c>
      <c r="AJ48" s="54" t="s">
        <v>176</v>
      </c>
      <c r="AK48" s="54" t="s">
        <v>176</v>
      </c>
      <c r="AL48" s="54" t="s">
        <v>176</v>
      </c>
      <c r="AM48" s="54" t="s">
        <v>176</v>
      </c>
      <c r="AN48" s="54" t="s">
        <v>176</v>
      </c>
      <c r="AO48" s="54"/>
      <c r="AP48" s="54"/>
      <c r="AQ48" s="54" t="s">
        <v>176</v>
      </c>
      <c r="AR48" s="54"/>
      <c r="AS48" s="54" t="s">
        <v>176</v>
      </c>
      <c r="AT48" s="54"/>
      <c r="AU48" s="54" t="s">
        <v>176</v>
      </c>
      <c r="AV48" s="54"/>
      <c r="AW48" s="54" t="s">
        <v>176</v>
      </c>
      <c r="AX48" s="54"/>
      <c r="AY48" s="54" t="s">
        <v>176</v>
      </c>
      <c r="AZ48" s="54"/>
      <c r="BA48" s="54" t="s">
        <v>176</v>
      </c>
      <c r="BB48" s="54"/>
      <c r="BC48" s="54" t="s">
        <v>176</v>
      </c>
      <c r="BD48" s="54"/>
      <c r="BE48" s="54" t="s">
        <v>176</v>
      </c>
      <c r="BF48" s="54"/>
      <c r="BG48" s="54" t="s">
        <v>176</v>
      </c>
      <c r="BH48" s="54"/>
      <c r="BI48" s="54" t="s">
        <v>176</v>
      </c>
      <c r="BJ48" s="54"/>
      <c r="BK48" s="54" t="s">
        <v>176</v>
      </c>
      <c r="BL48" s="54"/>
      <c r="BM48" s="54" t="s">
        <v>176</v>
      </c>
      <c r="BN48" s="54"/>
      <c r="BO48" s="54" t="s">
        <v>176</v>
      </c>
      <c r="BP48" s="54"/>
      <c r="BQ48" s="54" t="s">
        <v>176</v>
      </c>
      <c r="BR48" s="54"/>
      <c r="BS48" s="54" t="s">
        <v>176</v>
      </c>
      <c r="BT48" s="54"/>
      <c r="BU48" s="54" t="s">
        <v>176</v>
      </c>
      <c r="BV48" s="54"/>
      <c r="BW48" s="54" t="s">
        <v>176</v>
      </c>
      <c r="BX48" s="54" t="s">
        <v>176</v>
      </c>
      <c r="BY48" s="54" t="s">
        <v>176</v>
      </c>
      <c r="BZ48" s="54" t="s">
        <v>176</v>
      </c>
      <c r="CA48" s="54" t="s">
        <v>176</v>
      </c>
      <c r="CB48" s="54"/>
    </row>
    <row r="49" spans="1:133" ht="30.75" customHeight="1" x14ac:dyDescent="0.25">
      <c r="A49" s="54" t="s">
        <v>176</v>
      </c>
      <c r="B49" s="54" t="s">
        <v>176</v>
      </c>
      <c r="C49" s="54" t="s">
        <v>176</v>
      </c>
      <c r="D49" s="54" t="s">
        <v>176</v>
      </c>
      <c r="E49" s="54" t="s">
        <v>176</v>
      </c>
      <c r="F49" s="54" t="s">
        <v>176</v>
      </c>
      <c r="G49" s="54" t="s">
        <v>176</v>
      </c>
      <c r="H49" s="54" t="s">
        <v>176</v>
      </c>
      <c r="I49" s="54" t="s">
        <v>176</v>
      </c>
      <c r="J49" s="54" t="s">
        <v>176</v>
      </c>
      <c r="K49" s="54" t="s">
        <v>176</v>
      </c>
      <c r="L49" s="54" t="s">
        <v>176</v>
      </c>
      <c r="M49" s="54"/>
      <c r="N49" s="54" t="s">
        <v>176</v>
      </c>
      <c r="O49" s="54" t="s">
        <v>176</v>
      </c>
      <c r="P49" s="54"/>
      <c r="Q49" s="54" t="s">
        <v>176</v>
      </c>
      <c r="R49" s="54" t="s">
        <v>176</v>
      </c>
      <c r="S49" s="54" t="s">
        <v>176</v>
      </c>
      <c r="T49" s="54" t="s">
        <v>176</v>
      </c>
      <c r="U49" s="54" t="s">
        <v>176</v>
      </c>
      <c r="V49" s="54" t="s">
        <v>176</v>
      </c>
      <c r="W49" s="54" t="s">
        <v>176</v>
      </c>
      <c r="X49" s="54" t="s">
        <v>176</v>
      </c>
      <c r="Y49" s="54" t="s">
        <v>176</v>
      </c>
      <c r="Z49" s="54" t="s">
        <v>176</v>
      </c>
      <c r="AA49" s="54" t="s">
        <v>176</v>
      </c>
      <c r="AB49" s="54" t="s">
        <v>176</v>
      </c>
      <c r="AC49" s="54" t="s">
        <v>176</v>
      </c>
      <c r="AD49" s="54" t="s">
        <v>176</v>
      </c>
      <c r="AE49" s="54" t="s">
        <v>176</v>
      </c>
      <c r="AF49" s="54" t="s">
        <v>176</v>
      </c>
      <c r="AG49" s="54" t="s">
        <v>176</v>
      </c>
      <c r="AH49" s="54" t="s">
        <v>176</v>
      </c>
      <c r="AI49" s="54" t="s">
        <v>176</v>
      </c>
      <c r="AJ49" s="54" t="s">
        <v>176</v>
      </c>
      <c r="AK49" s="54" t="s">
        <v>176</v>
      </c>
      <c r="AL49" s="54" t="s">
        <v>176</v>
      </c>
      <c r="AM49" s="54" t="s">
        <v>176</v>
      </c>
      <c r="AN49" s="54" t="s">
        <v>176</v>
      </c>
      <c r="AO49" s="54"/>
      <c r="AP49" s="54"/>
      <c r="AQ49" s="54" t="s">
        <v>176</v>
      </c>
      <c r="AR49" s="54"/>
      <c r="AS49" s="54" t="s">
        <v>176</v>
      </c>
      <c r="AT49" s="54"/>
      <c r="AU49" s="54" t="s">
        <v>176</v>
      </c>
      <c r="AV49" s="54"/>
      <c r="AW49" s="54" t="s">
        <v>176</v>
      </c>
      <c r="AX49" s="54"/>
      <c r="AY49" s="54" t="s">
        <v>176</v>
      </c>
      <c r="AZ49" s="54"/>
      <c r="BA49" s="54" t="s">
        <v>176</v>
      </c>
      <c r="BB49" s="54"/>
      <c r="BC49" s="54" t="s">
        <v>176</v>
      </c>
      <c r="BD49" s="54"/>
      <c r="BE49" s="54" t="s">
        <v>176</v>
      </c>
      <c r="BF49" s="54"/>
      <c r="BG49" s="54" t="s">
        <v>176</v>
      </c>
      <c r="BH49" s="54"/>
      <c r="BI49" s="54" t="s">
        <v>176</v>
      </c>
      <c r="BJ49" s="54"/>
      <c r="BK49" s="54" t="s">
        <v>176</v>
      </c>
      <c r="BL49" s="54"/>
      <c r="BM49" s="54" t="s">
        <v>176</v>
      </c>
      <c r="BN49" s="54"/>
      <c r="BO49" s="54" t="s">
        <v>176</v>
      </c>
      <c r="BP49" s="54"/>
      <c r="BQ49" s="54" t="s">
        <v>176</v>
      </c>
      <c r="BR49" s="54"/>
      <c r="BS49" s="54" t="s">
        <v>176</v>
      </c>
      <c r="BT49" s="54"/>
      <c r="BU49" s="54" t="s">
        <v>176</v>
      </c>
      <c r="BV49" s="54"/>
      <c r="BW49" s="54" t="s">
        <v>176</v>
      </c>
      <c r="BX49" s="54" t="s">
        <v>176</v>
      </c>
      <c r="BY49" s="54" t="s">
        <v>176</v>
      </c>
      <c r="BZ49" s="54" t="s">
        <v>176</v>
      </c>
      <c r="CA49" s="54" t="s">
        <v>176</v>
      </c>
      <c r="CB49" s="54"/>
    </row>
    <row r="50" spans="1:133" ht="45.75" customHeight="1" x14ac:dyDescent="0.25">
      <c r="A50" s="54" t="s">
        <v>176</v>
      </c>
      <c r="B50" s="54" t="s">
        <v>176</v>
      </c>
      <c r="C50" s="54" t="s">
        <v>176</v>
      </c>
      <c r="D50" s="54" t="s">
        <v>176</v>
      </c>
      <c r="E50" s="54" t="s">
        <v>176</v>
      </c>
      <c r="F50" s="54" t="s">
        <v>176</v>
      </c>
      <c r="G50" s="54" t="s">
        <v>176</v>
      </c>
      <c r="H50" s="54" t="s">
        <v>176</v>
      </c>
      <c r="I50" s="54" t="s">
        <v>176</v>
      </c>
      <c r="J50" s="54" t="s">
        <v>176</v>
      </c>
      <c r="K50" s="54" t="s">
        <v>176</v>
      </c>
      <c r="L50" s="54" t="s">
        <v>176</v>
      </c>
      <c r="M50" s="54"/>
      <c r="N50" s="54" t="s">
        <v>176</v>
      </c>
      <c r="O50" s="54" t="s">
        <v>176</v>
      </c>
      <c r="P50" s="54"/>
      <c r="Q50" s="54" t="s">
        <v>176</v>
      </c>
      <c r="R50" s="54" t="s">
        <v>176</v>
      </c>
      <c r="S50" s="54" t="s">
        <v>176</v>
      </c>
      <c r="T50" s="54" t="s">
        <v>176</v>
      </c>
      <c r="U50" s="54" t="s">
        <v>176</v>
      </c>
      <c r="V50" s="54" t="s">
        <v>176</v>
      </c>
      <c r="W50" s="54" t="s">
        <v>176</v>
      </c>
      <c r="X50" s="54" t="s">
        <v>176</v>
      </c>
      <c r="Y50" s="54" t="s">
        <v>176</v>
      </c>
      <c r="Z50" s="54" t="s">
        <v>176</v>
      </c>
      <c r="AA50" s="54" t="s">
        <v>176</v>
      </c>
      <c r="AB50" s="54" t="s">
        <v>176</v>
      </c>
      <c r="AC50" s="54" t="s">
        <v>176</v>
      </c>
      <c r="AD50" s="54" t="s">
        <v>176</v>
      </c>
      <c r="AE50" s="54" t="s">
        <v>176</v>
      </c>
      <c r="AF50" s="54" t="s">
        <v>176</v>
      </c>
      <c r="AG50" s="54" t="s">
        <v>176</v>
      </c>
      <c r="AH50" s="54" t="s">
        <v>176</v>
      </c>
      <c r="AI50" s="54" t="s">
        <v>176</v>
      </c>
      <c r="AJ50" s="54" t="s">
        <v>176</v>
      </c>
      <c r="AK50" s="54" t="s">
        <v>176</v>
      </c>
      <c r="AL50" s="54" t="s">
        <v>176</v>
      </c>
      <c r="AM50" s="54" t="s">
        <v>176</v>
      </c>
      <c r="AN50" s="54" t="s">
        <v>176</v>
      </c>
      <c r="AO50" s="54"/>
      <c r="AP50" s="54"/>
      <c r="AQ50" s="54" t="s">
        <v>176</v>
      </c>
      <c r="AR50" s="54"/>
      <c r="AS50" s="54" t="s">
        <v>176</v>
      </c>
      <c r="AT50" s="54"/>
      <c r="AU50" s="54" t="s">
        <v>176</v>
      </c>
      <c r="AV50" s="54"/>
      <c r="AW50" s="54" t="s">
        <v>176</v>
      </c>
      <c r="AX50" s="54"/>
      <c r="AY50" s="54" t="s">
        <v>176</v>
      </c>
      <c r="AZ50" s="54"/>
      <c r="BA50" s="54" t="s">
        <v>176</v>
      </c>
      <c r="BB50" s="54"/>
      <c r="BC50" s="54" t="s">
        <v>176</v>
      </c>
      <c r="BD50" s="54"/>
      <c r="BE50" s="54" t="s">
        <v>176</v>
      </c>
      <c r="BF50" s="54"/>
      <c r="BG50" s="54" t="s">
        <v>176</v>
      </c>
      <c r="BH50" s="54"/>
      <c r="BI50" s="54" t="s">
        <v>176</v>
      </c>
      <c r="BJ50" s="54"/>
      <c r="BK50" s="54" t="s">
        <v>176</v>
      </c>
      <c r="BL50" s="54"/>
      <c r="BM50" s="54" t="s">
        <v>176</v>
      </c>
      <c r="BN50" s="54"/>
      <c r="BO50" s="54" t="s">
        <v>176</v>
      </c>
      <c r="BP50" s="54"/>
      <c r="BQ50" s="54" t="s">
        <v>176</v>
      </c>
      <c r="BR50" s="54"/>
      <c r="BS50" s="54" t="s">
        <v>176</v>
      </c>
      <c r="BT50" s="54"/>
      <c r="BU50" s="54" t="s">
        <v>176</v>
      </c>
      <c r="BV50" s="54"/>
      <c r="BW50" s="54" t="s">
        <v>176</v>
      </c>
      <c r="BX50" s="54" t="s">
        <v>176</v>
      </c>
      <c r="BY50" s="54" t="s">
        <v>176</v>
      </c>
      <c r="BZ50" s="54" t="s">
        <v>176</v>
      </c>
      <c r="CA50" s="54" t="s">
        <v>176</v>
      </c>
      <c r="CB50" s="54"/>
    </row>
    <row r="51" spans="1:133" ht="30.75" customHeight="1" x14ac:dyDescent="0.25">
      <c r="A51" s="54" t="s">
        <v>176</v>
      </c>
      <c r="B51" s="54" t="s">
        <v>176</v>
      </c>
      <c r="C51" s="54" t="s">
        <v>176</v>
      </c>
      <c r="D51" s="54" t="s">
        <v>176</v>
      </c>
      <c r="E51" s="54" t="s">
        <v>176</v>
      </c>
      <c r="F51" s="54" t="s">
        <v>176</v>
      </c>
      <c r="G51" s="54" t="s">
        <v>176</v>
      </c>
      <c r="H51" s="54" t="s">
        <v>176</v>
      </c>
      <c r="I51" s="54" t="s">
        <v>176</v>
      </c>
      <c r="J51" s="54" t="s">
        <v>176</v>
      </c>
      <c r="K51" s="54" t="s">
        <v>176</v>
      </c>
      <c r="L51" s="54" t="s">
        <v>176</v>
      </c>
      <c r="M51" s="54"/>
      <c r="N51" s="54" t="s">
        <v>176</v>
      </c>
      <c r="O51" s="54" t="s">
        <v>176</v>
      </c>
      <c r="P51" s="54"/>
      <c r="Q51" s="54" t="s">
        <v>176</v>
      </c>
      <c r="R51" s="54" t="s">
        <v>176</v>
      </c>
      <c r="S51" s="54" t="s">
        <v>176</v>
      </c>
      <c r="T51" s="54" t="s">
        <v>176</v>
      </c>
      <c r="U51" s="54" t="s">
        <v>176</v>
      </c>
      <c r="V51" s="54" t="s">
        <v>176</v>
      </c>
      <c r="W51" s="54" t="s">
        <v>176</v>
      </c>
      <c r="X51" s="54" t="s">
        <v>176</v>
      </c>
      <c r="Y51" s="54" t="s">
        <v>176</v>
      </c>
      <c r="Z51" s="54" t="s">
        <v>176</v>
      </c>
      <c r="AA51" s="54" t="s">
        <v>176</v>
      </c>
      <c r="AB51" s="54" t="s">
        <v>176</v>
      </c>
      <c r="AC51" s="54" t="s">
        <v>176</v>
      </c>
      <c r="AD51" s="54" t="s">
        <v>176</v>
      </c>
      <c r="AE51" s="54" t="s">
        <v>176</v>
      </c>
      <c r="AF51" s="54" t="s">
        <v>176</v>
      </c>
      <c r="AG51" s="54" t="s">
        <v>176</v>
      </c>
      <c r="AH51" s="54" t="s">
        <v>176</v>
      </c>
      <c r="AI51" s="54" t="s">
        <v>176</v>
      </c>
      <c r="AJ51" s="54" t="s">
        <v>176</v>
      </c>
      <c r="AK51" s="54" t="s">
        <v>176</v>
      </c>
      <c r="AL51" s="54" t="s">
        <v>176</v>
      </c>
      <c r="AM51" s="54" t="s">
        <v>176</v>
      </c>
      <c r="AN51" s="54" t="s">
        <v>176</v>
      </c>
      <c r="AO51" s="54"/>
      <c r="AP51" s="54"/>
      <c r="AQ51" s="54" t="s">
        <v>176</v>
      </c>
      <c r="AR51" s="54"/>
      <c r="AS51" s="54" t="s">
        <v>176</v>
      </c>
      <c r="AT51" s="54"/>
      <c r="AU51" s="54" t="s">
        <v>176</v>
      </c>
      <c r="AV51" s="54"/>
      <c r="AW51" s="54" t="s">
        <v>176</v>
      </c>
      <c r="AX51" s="54"/>
      <c r="AY51" s="54" t="s">
        <v>176</v>
      </c>
      <c r="AZ51" s="54"/>
      <c r="BA51" s="54" t="s">
        <v>176</v>
      </c>
      <c r="BB51" s="54"/>
      <c r="BC51" s="54" t="s">
        <v>176</v>
      </c>
      <c r="BD51" s="54"/>
      <c r="BE51" s="54" t="s">
        <v>176</v>
      </c>
      <c r="BF51" s="54"/>
      <c r="BG51" s="54" t="s">
        <v>176</v>
      </c>
      <c r="BH51" s="54"/>
      <c r="BI51" s="54" t="s">
        <v>176</v>
      </c>
      <c r="BJ51" s="54"/>
      <c r="BK51" s="54" t="s">
        <v>176</v>
      </c>
      <c r="BL51" s="54"/>
      <c r="BM51" s="54" t="s">
        <v>176</v>
      </c>
      <c r="BN51" s="54"/>
      <c r="BO51" s="54" t="s">
        <v>176</v>
      </c>
      <c r="BP51" s="54"/>
      <c r="BQ51" s="54" t="s">
        <v>176</v>
      </c>
      <c r="BR51" s="54"/>
      <c r="BS51" s="54" t="s">
        <v>176</v>
      </c>
      <c r="BT51" s="54"/>
      <c r="BU51" s="54" t="s">
        <v>176</v>
      </c>
      <c r="BV51" s="54"/>
      <c r="BW51" s="54" t="s">
        <v>176</v>
      </c>
      <c r="BX51" s="54" t="s">
        <v>176</v>
      </c>
      <c r="BY51" s="54" t="s">
        <v>176</v>
      </c>
      <c r="BZ51" s="54" t="s">
        <v>176</v>
      </c>
      <c r="CA51" s="54" t="s">
        <v>176</v>
      </c>
      <c r="CB51" s="54"/>
      <c r="EB51" s="256"/>
      <c r="EC51" s="256"/>
    </row>
    <row r="52" spans="1:133" ht="30.75" customHeight="1" thickBot="1" x14ac:dyDescent="0.3">
      <c r="A52" s="54" t="s">
        <v>176</v>
      </c>
      <c r="B52" s="54" t="s">
        <v>176</v>
      </c>
      <c r="C52" s="54" t="s">
        <v>176</v>
      </c>
      <c r="D52" s="54" t="s">
        <v>176</v>
      </c>
      <c r="E52" s="54" t="s">
        <v>176</v>
      </c>
      <c r="F52" s="54" t="s">
        <v>176</v>
      </c>
      <c r="G52" s="54" t="s">
        <v>176</v>
      </c>
      <c r="H52" s="54" t="s">
        <v>176</v>
      </c>
      <c r="I52" s="54" t="s">
        <v>176</v>
      </c>
      <c r="J52" s="54" t="s">
        <v>176</v>
      </c>
      <c r="K52" s="54" t="s">
        <v>176</v>
      </c>
      <c r="L52" s="54" t="s">
        <v>176</v>
      </c>
      <c r="M52" s="54"/>
      <c r="N52" s="54" t="s">
        <v>176</v>
      </c>
      <c r="O52" s="54" t="s">
        <v>176</v>
      </c>
      <c r="P52" s="54"/>
      <c r="Q52" s="54" t="s">
        <v>176</v>
      </c>
      <c r="R52" s="54" t="s">
        <v>176</v>
      </c>
      <c r="S52" s="54" t="s">
        <v>176</v>
      </c>
      <c r="T52" s="54" t="s">
        <v>176</v>
      </c>
      <c r="U52" s="54" t="s">
        <v>176</v>
      </c>
      <c r="V52" s="54" t="s">
        <v>176</v>
      </c>
      <c r="W52" s="54" t="s">
        <v>176</v>
      </c>
      <c r="X52" s="54" t="s">
        <v>176</v>
      </c>
      <c r="Y52" s="54" t="s">
        <v>176</v>
      </c>
      <c r="Z52" s="54" t="s">
        <v>176</v>
      </c>
      <c r="AA52" s="54" t="s">
        <v>176</v>
      </c>
      <c r="AB52" s="54" t="s">
        <v>176</v>
      </c>
      <c r="AC52" s="54" t="s">
        <v>176</v>
      </c>
      <c r="AD52" s="54" t="s">
        <v>176</v>
      </c>
      <c r="AE52" s="54" t="s">
        <v>176</v>
      </c>
      <c r="AF52" s="54" t="s">
        <v>176</v>
      </c>
      <c r="AG52" s="54" t="s">
        <v>176</v>
      </c>
      <c r="AH52" s="54" t="s">
        <v>176</v>
      </c>
      <c r="AI52" s="54" t="s">
        <v>176</v>
      </c>
      <c r="AJ52" s="54" t="s">
        <v>176</v>
      </c>
      <c r="AK52" s="54" t="s">
        <v>176</v>
      </c>
      <c r="AL52" s="54" t="s">
        <v>176</v>
      </c>
      <c r="AM52" s="54" t="s">
        <v>176</v>
      </c>
      <c r="AN52" s="54" t="s">
        <v>176</v>
      </c>
      <c r="AO52" s="54"/>
      <c r="AP52" s="54"/>
      <c r="AQ52" s="54" t="s">
        <v>176</v>
      </c>
      <c r="AR52" s="54"/>
      <c r="AS52" s="54" t="s">
        <v>176</v>
      </c>
      <c r="AT52" s="54"/>
      <c r="AU52" s="54" t="s">
        <v>176</v>
      </c>
      <c r="AV52" s="54"/>
      <c r="AW52" s="54" t="s">
        <v>176</v>
      </c>
      <c r="AX52" s="54"/>
      <c r="AY52" s="54" t="s">
        <v>176</v>
      </c>
      <c r="AZ52" s="54"/>
      <c r="BA52" s="54" t="s">
        <v>176</v>
      </c>
      <c r="BB52" s="54"/>
      <c r="BC52" s="54" t="s">
        <v>176</v>
      </c>
      <c r="BD52" s="54"/>
      <c r="BE52" s="54" t="s">
        <v>176</v>
      </c>
      <c r="BF52" s="54"/>
      <c r="BG52" s="54" t="s">
        <v>176</v>
      </c>
      <c r="BH52" s="54"/>
      <c r="BI52" s="54" t="s">
        <v>176</v>
      </c>
      <c r="BJ52" s="54"/>
      <c r="BK52" s="54" t="s">
        <v>176</v>
      </c>
      <c r="BL52" s="54"/>
      <c r="BM52" s="54" t="s">
        <v>176</v>
      </c>
      <c r="BN52" s="54"/>
      <c r="BO52" s="54" t="s">
        <v>176</v>
      </c>
      <c r="BP52" s="54"/>
      <c r="BQ52" s="54" t="s">
        <v>176</v>
      </c>
      <c r="BR52" s="54"/>
      <c r="BS52" s="54" t="s">
        <v>176</v>
      </c>
      <c r="BT52" s="54"/>
      <c r="BU52" s="54" t="s">
        <v>176</v>
      </c>
      <c r="BV52" s="54"/>
      <c r="BW52" s="54" t="s">
        <v>176</v>
      </c>
      <c r="BX52" s="54" t="s">
        <v>176</v>
      </c>
      <c r="BY52" s="54" t="s">
        <v>176</v>
      </c>
      <c r="BZ52" s="54" t="s">
        <v>176</v>
      </c>
      <c r="CA52" s="54" t="s">
        <v>176</v>
      </c>
      <c r="CB52" s="54"/>
      <c r="EB52" s="256"/>
      <c r="EC52" s="256"/>
    </row>
    <row r="53" spans="1:133" ht="29.25" customHeight="1" thickBot="1" x14ac:dyDescent="0.3">
      <c r="O53" s="66"/>
      <c r="P53" s="143"/>
    </row>
    <row r="54" spans="1:133" ht="27" thickBot="1" x14ac:dyDescent="0.3">
      <c r="O54" s="66"/>
      <c r="P54" s="143"/>
    </row>
    <row r="55" spans="1:133" ht="43.5" customHeight="1" thickBot="1" x14ac:dyDescent="0.3">
      <c r="O55" s="66"/>
      <c r="P55" s="143"/>
    </row>
    <row r="56" spans="1:133" ht="43.5" customHeight="1" thickBot="1" x14ac:dyDescent="0.3">
      <c r="O56" s="66"/>
      <c r="P56" s="143"/>
    </row>
    <row r="57" spans="1:133" ht="30.75" customHeight="1" x14ac:dyDescent="0.25"/>
    <row r="58" spans="1:133" ht="30.75" customHeight="1" x14ac:dyDescent="0.25"/>
    <row r="59" spans="1:133" ht="29.25" customHeight="1" x14ac:dyDescent="0.25"/>
    <row r="60" spans="1:133" ht="29.25" customHeight="1" x14ac:dyDescent="0.25"/>
    <row r="61" spans="1:133" ht="29.25" customHeight="1" x14ac:dyDescent="0.25"/>
    <row r="62" spans="1:133" ht="43.5" customHeight="1" x14ac:dyDescent="0.25"/>
    <row r="63" spans="1:133" ht="29.25" customHeight="1" x14ac:dyDescent="0.25"/>
    <row r="64" spans="1:133" ht="29.25" customHeight="1" x14ac:dyDescent="0.25"/>
    <row r="65" ht="29.25" customHeight="1" x14ac:dyDescent="0.25"/>
    <row r="66" ht="30.75" customHeight="1" x14ac:dyDescent="0.25"/>
    <row r="67" ht="30.75" customHeight="1" x14ac:dyDescent="0.25"/>
    <row r="68" ht="29.25" customHeight="1" x14ac:dyDescent="0.25"/>
    <row r="69" ht="15.75" customHeight="1" x14ac:dyDescent="0.25"/>
    <row r="70" ht="29.25" customHeight="1" x14ac:dyDescent="0.25"/>
    <row r="71" ht="57.75" customHeight="1" x14ac:dyDescent="0.25"/>
    <row r="72" ht="29.25" customHeight="1" x14ac:dyDescent="0.25"/>
    <row r="73" ht="29.25" customHeight="1" x14ac:dyDescent="0.25"/>
    <row r="74" ht="29.25" customHeight="1" x14ac:dyDescent="0.25"/>
    <row r="75" ht="60.75" customHeight="1" x14ac:dyDescent="0.25"/>
    <row r="76" ht="30.75" customHeight="1" x14ac:dyDescent="0.25"/>
    <row r="77" ht="29.25" customHeight="1" x14ac:dyDescent="0.25"/>
    <row r="78" ht="30.75" customHeight="1" x14ac:dyDescent="0.25"/>
    <row r="79" ht="30.75" customHeight="1" x14ac:dyDescent="0.25"/>
    <row r="80" ht="45.75" customHeight="1" x14ac:dyDescent="0.25"/>
    <row r="81" ht="29.25" customHeight="1" x14ac:dyDescent="0.25"/>
    <row r="82" ht="30.75" customHeight="1" x14ac:dyDescent="0.25"/>
    <row r="83" ht="43.5" customHeight="1" x14ac:dyDescent="0.25"/>
    <row r="84" ht="30.75" customHeight="1" x14ac:dyDescent="0.25"/>
    <row r="85" ht="57.75" customHeight="1" x14ac:dyDescent="0.25"/>
    <row r="86" ht="45.75" customHeight="1" x14ac:dyDescent="0.25"/>
    <row r="87" ht="60" customHeight="1" x14ac:dyDescent="0.25"/>
    <row r="88" ht="30.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sheetData>
  <mergeCells count="19">
    <mergeCell ref="EB46:EC46"/>
    <mergeCell ref="EB47:EC47"/>
    <mergeCell ref="EB51:EC51"/>
    <mergeCell ref="EB52:EC52"/>
    <mergeCell ref="EB41:EC41"/>
    <mergeCell ref="EB42:EC42"/>
    <mergeCell ref="EB43:EC43"/>
    <mergeCell ref="EB44:EC44"/>
    <mergeCell ref="EB45:EC45"/>
    <mergeCell ref="J1:J2"/>
    <mergeCell ref="A1:A2"/>
    <mergeCell ref="B1:B2"/>
    <mergeCell ref="C1:C2"/>
    <mergeCell ref="D1:D2"/>
    <mergeCell ref="E1:E2"/>
    <mergeCell ref="G1:G2"/>
    <mergeCell ref="F1:F2"/>
    <mergeCell ref="H1:H2"/>
    <mergeCell ref="I1:I2"/>
  </mergeCells>
  <pageMargins left="0.7" right="0.7" top="0.75" bottom="0.75" header="0.3" footer="0.3"/>
  <pageSetup orientation="portrait" horizontalDpi="300" verticalDpi="3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7" tint="0.59999389629810485"/>
  </sheetPr>
  <dimension ref="A1:CB100"/>
  <sheetViews>
    <sheetView zoomScale="93" zoomScaleNormal="93" workbookViewId="0">
      <selection activeCell="E30" sqref="E30"/>
    </sheetView>
  </sheetViews>
  <sheetFormatPr defaultRowHeight="15" x14ac:dyDescent="0.25"/>
  <cols>
    <col min="1" max="1" width="9.140625" style="86"/>
    <col min="2" max="2" width="17.28515625" style="86" bestFit="1" customWidth="1"/>
    <col min="3" max="3" width="39.42578125" style="137" bestFit="1" customWidth="1"/>
    <col min="4" max="4" width="49" style="1" bestFit="1" customWidth="1"/>
    <col min="5" max="5" width="48.140625" style="1" customWidth="1"/>
    <col min="6" max="6" width="11.42578125" style="109" customWidth="1"/>
    <col min="7" max="7" width="32.140625" style="1" customWidth="1"/>
    <col min="8" max="8" width="36.140625" style="1" bestFit="1" customWidth="1"/>
    <col min="9" max="9" width="85.85546875" customWidth="1"/>
    <col min="10" max="10" width="73.42578125" style="137" customWidth="1"/>
    <col min="11" max="11" width="28.42578125" style="133" bestFit="1" customWidth="1"/>
    <col min="12" max="12" width="28.42578125" style="58" customWidth="1"/>
    <col min="13" max="13" width="28.42578125" style="48" customWidth="1"/>
    <col min="14" max="14" width="28.42578125" style="58" customWidth="1"/>
    <col min="15" max="16" width="28.42578125" bestFit="1" customWidth="1"/>
    <col min="17" max="17" width="32.5703125" bestFit="1" customWidth="1"/>
    <col min="18" max="18" width="29.5703125" bestFit="1" customWidth="1"/>
    <col min="19" max="19" width="30.140625" style="1" bestFit="1" customWidth="1"/>
    <col min="20" max="20" width="28.140625" style="1" bestFit="1" customWidth="1"/>
    <col min="21" max="21" width="31.28515625" style="1" bestFit="1" customWidth="1"/>
    <col min="22" max="22" width="31.7109375" style="1" bestFit="1" customWidth="1"/>
    <col min="23" max="23" width="28.42578125" style="1" bestFit="1" customWidth="1"/>
    <col min="24" max="24" width="26.140625" style="1" customWidth="1"/>
    <col min="25" max="25" width="21.7109375" style="1" bestFit="1" customWidth="1"/>
    <col min="26" max="29" width="21.7109375" style="1" customWidth="1"/>
    <col min="30" max="31" width="21.7109375" style="1" bestFit="1" customWidth="1"/>
    <col min="32" max="33" width="21.7109375" style="1" customWidth="1"/>
    <col min="34" max="34" width="21.7109375" style="1" bestFit="1" customWidth="1"/>
    <col min="35" max="39" width="21.7109375" style="1" customWidth="1"/>
    <col min="40" max="40" width="21" style="1" customWidth="1"/>
    <col min="41" max="41" width="18.7109375" style="1" customWidth="1"/>
    <col min="42" max="42" width="27.5703125" style="1" bestFit="1" customWidth="1"/>
    <col min="43" max="44" width="30" style="1" bestFit="1" customWidth="1"/>
    <col min="45" max="45" width="28.42578125" style="1" bestFit="1" customWidth="1"/>
    <col min="46" max="47" width="30" style="1" bestFit="1" customWidth="1"/>
    <col min="48" max="48" width="29.42578125" style="1" bestFit="1" customWidth="1"/>
    <col min="49" max="51" width="26.140625" style="1" customWidth="1"/>
    <col min="52" max="52" width="28.85546875" style="1" bestFit="1" customWidth="1"/>
    <col min="53" max="53" width="26.140625" style="1" customWidth="1"/>
    <col min="54" max="54" width="28.85546875" style="1" bestFit="1" customWidth="1"/>
    <col min="55" max="57" width="26.140625" style="1" customWidth="1"/>
    <col min="58" max="60" width="26.140625" style="45" customWidth="1"/>
    <col min="61" max="66" width="26.140625" style="1" customWidth="1"/>
    <col min="67" max="67" width="25.5703125" style="1" bestFit="1" customWidth="1"/>
    <col min="68" max="73" width="26.140625" style="1" customWidth="1"/>
    <col min="74" max="74" width="35.42578125" style="1" customWidth="1"/>
    <col min="75" max="79" width="26.140625" style="1" customWidth="1"/>
    <col min="80" max="80" width="33.5703125" customWidth="1"/>
    <col min="81" max="81" width="51.140625" customWidth="1"/>
  </cols>
  <sheetData>
    <row r="1" spans="1:79" s="86" customFormat="1" x14ac:dyDescent="0.25">
      <c r="A1" s="274"/>
      <c r="B1" s="274"/>
      <c r="C1" s="139" t="s">
        <v>480</v>
      </c>
      <c r="D1" s="1" t="s">
        <v>481</v>
      </c>
      <c r="E1" s="1" t="s">
        <v>482</v>
      </c>
      <c r="F1" s="109"/>
      <c r="G1" s="1" t="s">
        <v>335</v>
      </c>
      <c r="H1" s="1" t="s">
        <v>307</v>
      </c>
      <c r="I1" s="149" t="s">
        <v>479</v>
      </c>
      <c r="J1" s="149" t="s">
        <v>526</v>
      </c>
      <c r="K1" s="133"/>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45"/>
      <c r="BG1" s="45"/>
      <c r="BH1" s="45"/>
      <c r="BI1" s="1"/>
      <c r="BJ1" s="1"/>
      <c r="BK1" s="1"/>
      <c r="BL1" s="1"/>
      <c r="BM1" s="1"/>
      <c r="BN1" s="1"/>
      <c r="BO1" s="1"/>
      <c r="BP1" s="1"/>
      <c r="BQ1" s="1"/>
      <c r="BR1" s="1"/>
      <c r="BS1" s="1"/>
      <c r="BT1" s="1"/>
      <c r="BU1" s="1"/>
      <c r="BV1" s="1"/>
      <c r="BW1" s="1"/>
      <c r="BX1" s="1"/>
      <c r="BY1" s="1"/>
      <c r="BZ1" s="1"/>
      <c r="CA1" s="1"/>
    </row>
    <row r="2" spans="1:79" s="86" customFormat="1" x14ac:dyDescent="0.25">
      <c r="A2" s="280" t="s">
        <v>255</v>
      </c>
      <c r="B2" s="281"/>
      <c r="D2" s="136" t="s">
        <v>254</v>
      </c>
      <c r="E2" s="151" t="s">
        <v>311</v>
      </c>
      <c r="F2" s="109"/>
      <c r="G2" s="28"/>
      <c r="H2" s="160" t="str">
        <f>IF(G2="",E2,G2)</f>
        <v>First Reponse Unit Italy</v>
      </c>
      <c r="I2" s="86" t="s">
        <v>498</v>
      </c>
      <c r="J2" s="153"/>
      <c r="K2" s="151" t="s">
        <v>339</v>
      </c>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45"/>
      <c r="BG2" s="45"/>
      <c r="BH2" s="45"/>
      <c r="BI2" s="1"/>
      <c r="BJ2" s="1"/>
      <c r="BK2" s="1"/>
      <c r="BL2" s="1"/>
      <c r="BM2" s="1"/>
      <c r="BN2" s="1"/>
      <c r="BO2" s="1"/>
      <c r="BP2" s="1"/>
      <c r="BQ2" s="1"/>
      <c r="BR2" s="1"/>
      <c r="BS2" s="1"/>
      <c r="BT2" s="1"/>
      <c r="BU2" s="1"/>
      <c r="BV2" s="1"/>
      <c r="BW2" s="1"/>
      <c r="BX2" s="1"/>
      <c r="BY2" s="1"/>
      <c r="BZ2" s="1"/>
      <c r="CA2" s="1"/>
    </row>
    <row r="3" spans="1:79" s="86" customFormat="1" ht="30" x14ac:dyDescent="0.25">
      <c r="A3" s="263" t="s">
        <v>256</v>
      </c>
      <c r="B3" s="264"/>
      <c r="C3" s="140"/>
      <c r="D3" s="136" t="s">
        <v>308</v>
      </c>
      <c r="E3" s="94" t="s">
        <v>235</v>
      </c>
      <c r="F3" s="109"/>
      <c r="G3" s="28"/>
      <c r="H3" s="160" t="str">
        <f>IF(G3="",E3,G3)</f>
        <v>Collect wearable sensor data</v>
      </c>
      <c r="I3" s="39" t="s">
        <v>497</v>
      </c>
      <c r="J3" s="155" t="s">
        <v>523</v>
      </c>
      <c r="K3" s="135" t="s">
        <v>152</v>
      </c>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45"/>
      <c r="BG3" s="45"/>
      <c r="BH3" s="45"/>
      <c r="BI3" s="1"/>
      <c r="BJ3" s="1"/>
      <c r="BK3" s="1"/>
      <c r="BL3" s="1"/>
      <c r="BM3" s="1"/>
      <c r="BN3" s="1"/>
      <c r="BO3" s="1"/>
      <c r="BP3" s="1"/>
      <c r="BQ3" s="1"/>
      <c r="BR3" s="1"/>
      <c r="BS3" s="1"/>
      <c r="BT3" s="1"/>
      <c r="BU3" s="1"/>
      <c r="BV3" s="1"/>
      <c r="BW3" s="1"/>
      <c r="BX3" s="1"/>
      <c r="BY3" s="1"/>
      <c r="BZ3" s="1"/>
      <c r="CA3" s="1"/>
    </row>
    <row r="4" spans="1:79" s="86" customFormat="1" ht="16.5" customHeight="1" x14ac:dyDescent="0.25">
      <c r="A4" s="265"/>
      <c r="B4" s="266"/>
      <c r="C4" s="142"/>
      <c r="D4" s="136" t="s">
        <v>264</v>
      </c>
      <c r="E4" s="122" t="str">
        <f>VLOOKUP(E3,'Pick lists'!$A$1:$B$28, 2,FALSE)</f>
        <v xml:space="preserve">Smart wearables </v>
      </c>
      <c r="F4" s="109"/>
      <c r="G4" s="116"/>
      <c r="H4" s="160" t="str">
        <f t="shared" ref="H4:H23" si="0">IF(G4="",E4,G4)</f>
        <v xml:space="preserve">Smart wearables </v>
      </c>
      <c r="I4" s="137" t="s">
        <v>496</v>
      </c>
      <c r="J4" s="153" t="s">
        <v>527</v>
      </c>
      <c r="K4" s="152" t="s">
        <v>340</v>
      </c>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45"/>
      <c r="BG4" s="45"/>
      <c r="BH4" s="45"/>
      <c r="BI4" s="1"/>
      <c r="BJ4" s="1"/>
      <c r="BK4" s="1"/>
      <c r="BL4" s="1"/>
      <c r="BM4" s="1"/>
      <c r="BN4" s="1"/>
      <c r="BO4" s="1"/>
      <c r="BP4" s="1"/>
      <c r="BQ4" s="1"/>
      <c r="BR4" s="1"/>
      <c r="BS4" s="1"/>
      <c r="BT4" s="1"/>
      <c r="BU4" s="1"/>
      <c r="BV4" s="1"/>
      <c r="BW4" s="1"/>
      <c r="BX4" s="1"/>
      <c r="BY4" s="1"/>
      <c r="BZ4" s="1"/>
      <c r="CA4" s="1"/>
    </row>
    <row r="5" spans="1:79" s="39" customFormat="1" ht="24" customHeight="1" thickBot="1" x14ac:dyDescent="0.3">
      <c r="A5" s="265"/>
      <c r="B5" s="266"/>
      <c r="C5" s="142"/>
      <c r="D5" s="136" t="s">
        <v>330</v>
      </c>
      <c r="E5" s="122" t="str">
        <f>VLOOKUP(E4,Profiles!$A$3:$AJ$27,36,FALSE)</f>
        <v>mIOT</v>
      </c>
      <c r="G5" s="133"/>
      <c r="H5" s="160" t="str">
        <f t="shared" si="0"/>
        <v>mIOT</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s="116" customFormat="1" ht="32.25" customHeight="1" thickTop="1" thickBot="1" x14ac:dyDescent="0.3">
      <c r="A6" s="265"/>
      <c r="B6" s="266"/>
      <c r="C6" s="142"/>
      <c r="D6" s="136" t="s">
        <v>331</v>
      </c>
      <c r="E6" s="129"/>
      <c r="G6" s="28"/>
      <c r="H6" s="160" t="str">
        <f>IF(AND(ISBLANK(E6),ISBLANK(G6)),"",IF(ISBLANK(G6),E6,G6))</f>
        <v/>
      </c>
      <c r="I6" s="178" t="s">
        <v>529</v>
      </c>
      <c r="J6" s="155" t="s">
        <v>528</v>
      </c>
      <c r="K6" s="133"/>
      <c r="S6" s="117"/>
      <c r="T6" s="117"/>
      <c r="U6" s="117"/>
      <c r="V6" s="117"/>
      <c r="W6" s="117"/>
      <c r="X6" s="117"/>
      <c r="Y6" s="117"/>
      <c r="Z6" s="117"/>
      <c r="AA6" s="117"/>
      <c r="AB6" s="117"/>
      <c r="AC6" s="117"/>
      <c r="AD6" s="117"/>
      <c r="AE6" s="117"/>
      <c r="AF6" s="117"/>
      <c r="AG6" s="117"/>
      <c r="AH6" s="117"/>
      <c r="AI6" s="117"/>
      <c r="AJ6" s="117"/>
      <c r="AK6" s="117"/>
      <c r="AL6" s="117"/>
      <c r="AM6" s="117"/>
      <c r="AN6" s="117"/>
      <c r="AO6" s="117"/>
      <c r="AP6" s="117"/>
      <c r="AQ6" s="117"/>
      <c r="AR6" s="117"/>
      <c r="AS6" s="117"/>
      <c r="AT6" s="117"/>
      <c r="AU6" s="117"/>
      <c r="AV6" s="117"/>
      <c r="AW6" s="117"/>
      <c r="AX6" s="117"/>
      <c r="AY6" s="117"/>
      <c r="AZ6" s="117"/>
      <c r="BA6" s="117"/>
      <c r="BB6" s="117"/>
      <c r="BC6" s="117"/>
      <c r="BD6" s="117"/>
      <c r="BE6" s="117"/>
      <c r="BF6" s="118"/>
      <c r="BG6" s="118"/>
      <c r="BH6" s="118"/>
      <c r="BI6" s="117"/>
      <c r="BJ6" s="117"/>
      <c r="BK6" s="117"/>
      <c r="BL6" s="117"/>
      <c r="BM6" s="117"/>
      <c r="BN6" s="117"/>
      <c r="BO6" s="117"/>
      <c r="BP6" s="117"/>
      <c r="BQ6" s="117"/>
      <c r="BR6" s="117"/>
      <c r="BS6" s="117"/>
      <c r="BT6" s="117"/>
      <c r="BU6" s="117"/>
      <c r="BV6" s="117"/>
      <c r="BW6" s="117"/>
      <c r="BX6" s="117"/>
      <c r="BY6" s="117"/>
      <c r="BZ6" s="117"/>
      <c r="CA6" s="117"/>
    </row>
    <row r="7" spans="1:79" s="109" customFormat="1" ht="16.5" customHeight="1" thickTop="1" x14ac:dyDescent="0.25">
      <c r="A7" s="265"/>
      <c r="B7" s="266"/>
      <c r="C7" s="142" t="s">
        <v>287</v>
      </c>
      <c r="D7" s="136" t="s">
        <v>287</v>
      </c>
      <c r="E7" s="151">
        <v>200000</v>
      </c>
      <c r="G7" s="28"/>
      <c r="H7" s="160">
        <f>IF(ISBLANK(G7),E7,G7)</f>
        <v>200000</v>
      </c>
      <c r="I7" s="109" t="s">
        <v>494</v>
      </c>
      <c r="J7" s="153"/>
      <c r="K7" s="133"/>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1"/>
      <c r="BG7" s="111"/>
      <c r="BH7" s="111"/>
      <c r="BI7" s="110"/>
      <c r="BJ7" s="110"/>
      <c r="BK7" s="110"/>
      <c r="BL7" s="110"/>
      <c r="BM7" s="110"/>
      <c r="BN7" s="110"/>
      <c r="BO7" s="110"/>
      <c r="BP7" s="110"/>
      <c r="BQ7" s="110"/>
      <c r="BR7" s="110"/>
      <c r="BS7" s="110"/>
      <c r="BT7" s="110"/>
      <c r="BU7" s="110"/>
      <c r="BV7" s="110"/>
      <c r="BW7" s="110"/>
      <c r="BX7" s="110"/>
      <c r="BY7" s="110"/>
      <c r="BZ7" s="110"/>
      <c r="CA7" s="110"/>
    </row>
    <row r="8" spans="1:79" s="86" customFormat="1" ht="16.5" customHeight="1" x14ac:dyDescent="0.25">
      <c r="A8" s="267"/>
      <c r="B8" s="268"/>
      <c r="C8" s="141" t="s">
        <v>290</v>
      </c>
      <c r="D8" s="136" t="s">
        <v>290</v>
      </c>
      <c r="E8" s="151"/>
      <c r="F8" s="109"/>
      <c r="G8" s="28"/>
      <c r="H8" s="160">
        <f>IF(AND(G8="",E7&lt;&gt;""),E7,G8)</f>
        <v>200000</v>
      </c>
      <c r="I8" s="86" t="s">
        <v>495</v>
      </c>
      <c r="J8" s="153"/>
      <c r="K8" s="133"/>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45"/>
      <c r="BG8" s="45"/>
      <c r="BH8" s="45"/>
      <c r="BI8" s="1"/>
      <c r="BJ8" s="1"/>
      <c r="BK8" s="1"/>
      <c r="BL8" s="1"/>
      <c r="BM8" s="1"/>
      <c r="BN8" s="1"/>
      <c r="BO8" s="1"/>
      <c r="BP8" s="1"/>
      <c r="BQ8" s="1"/>
      <c r="BR8" s="1"/>
      <c r="BS8" s="1"/>
      <c r="BT8" s="1"/>
      <c r="BU8" s="1"/>
      <c r="BV8" s="1"/>
      <c r="BW8" s="1"/>
      <c r="BX8" s="1"/>
      <c r="BY8" s="1"/>
      <c r="BZ8" s="1"/>
      <c r="CA8" s="1"/>
    </row>
    <row r="9" spans="1:79" s="86" customFormat="1" ht="16.5" customHeight="1" x14ac:dyDescent="0.25">
      <c r="A9" s="263" t="s">
        <v>141</v>
      </c>
      <c r="B9" s="264"/>
      <c r="C9" s="269" t="s">
        <v>588</v>
      </c>
      <c r="D9" s="136" t="s">
        <v>0</v>
      </c>
      <c r="E9" s="151" t="s">
        <v>1</v>
      </c>
      <c r="F9" s="109"/>
      <c r="G9" s="28"/>
      <c r="H9" s="160" t="str">
        <f t="shared" si="0"/>
        <v>National</v>
      </c>
      <c r="I9" s="137" t="s">
        <v>492</v>
      </c>
      <c r="J9" s="153"/>
      <c r="K9" s="133"/>
      <c r="L9" s="137"/>
      <c r="M9" s="137"/>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45"/>
      <c r="BG9" s="45"/>
      <c r="BH9" s="45"/>
      <c r="BI9" s="1"/>
      <c r="BJ9" s="1"/>
      <c r="BK9" s="1"/>
      <c r="BL9" s="1"/>
      <c r="BM9" s="1"/>
      <c r="BN9" s="1"/>
      <c r="BO9" s="1"/>
      <c r="BP9" s="1"/>
      <c r="BQ9" s="1"/>
      <c r="BR9" s="1"/>
      <c r="BS9" s="1"/>
      <c r="BT9" s="1"/>
      <c r="BU9" s="1"/>
      <c r="BV9" s="1"/>
      <c r="BW9" s="1"/>
      <c r="BX9" s="1"/>
      <c r="BY9" s="1"/>
      <c r="BZ9" s="1"/>
      <c r="CA9" s="1"/>
    </row>
    <row r="10" spans="1:79" s="86" customFormat="1" ht="16.5" customHeight="1" x14ac:dyDescent="0.25">
      <c r="A10" s="265"/>
      <c r="B10" s="266"/>
      <c r="C10" s="269"/>
      <c r="D10" s="136" t="s">
        <v>140</v>
      </c>
      <c r="E10" s="151" t="s">
        <v>160</v>
      </c>
      <c r="F10" s="109"/>
      <c r="G10" s="28"/>
      <c r="H10" s="160" t="str">
        <f t="shared" si="0"/>
        <v>Italy</v>
      </c>
      <c r="I10" s="137" t="s">
        <v>493</v>
      </c>
      <c r="J10" s="153"/>
      <c r="K10" s="133"/>
      <c r="L10" s="137"/>
      <c r="M10" s="137"/>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45"/>
      <c r="BG10" s="45"/>
      <c r="BH10" s="45"/>
      <c r="BI10" s="1"/>
      <c r="BJ10" s="1"/>
      <c r="BK10" s="1"/>
      <c r="BL10" s="1"/>
      <c r="BM10" s="1"/>
      <c r="BN10" s="1"/>
      <c r="BO10" s="1"/>
      <c r="BP10" s="1"/>
      <c r="BQ10" s="1"/>
      <c r="BR10" s="1"/>
      <c r="BS10" s="1"/>
      <c r="BT10" s="1"/>
      <c r="BU10" s="1"/>
      <c r="BV10" s="1"/>
      <c r="BW10" s="1"/>
      <c r="BX10" s="1"/>
      <c r="BY10" s="1"/>
      <c r="BZ10" s="1"/>
      <c r="CA10" s="1"/>
    </row>
    <row r="11" spans="1:79" s="90" customFormat="1" ht="16.5" customHeight="1" x14ac:dyDescent="0.25">
      <c r="A11" s="265"/>
      <c r="B11" s="266"/>
      <c r="C11" s="269"/>
      <c r="D11" s="136" t="s">
        <v>276</v>
      </c>
      <c r="E11" s="135" t="s">
        <v>277</v>
      </c>
      <c r="F11" s="109"/>
      <c r="G11" s="92"/>
      <c r="H11" s="160" t="str">
        <f t="shared" si="0"/>
        <v>&lt;geopolygon&gt;</v>
      </c>
      <c r="I11" s="137" t="s">
        <v>491</v>
      </c>
      <c r="J11" s="153"/>
      <c r="K11" s="133"/>
      <c r="L11" s="137"/>
      <c r="M11" s="137"/>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3"/>
      <c r="BG11" s="93"/>
      <c r="BH11" s="93"/>
      <c r="BI11" s="92"/>
      <c r="BJ11" s="92"/>
      <c r="BK11" s="92"/>
      <c r="BL11" s="92"/>
      <c r="BM11" s="92"/>
      <c r="BN11" s="92"/>
      <c r="BO11" s="92"/>
      <c r="BP11" s="92"/>
      <c r="BQ11" s="92"/>
      <c r="BR11" s="92"/>
      <c r="BS11" s="92"/>
      <c r="BT11" s="92"/>
      <c r="BU11" s="92"/>
      <c r="BV11" s="92"/>
      <c r="BW11" s="92"/>
      <c r="BX11" s="92"/>
      <c r="BY11" s="92"/>
      <c r="BZ11" s="92"/>
      <c r="CA11" s="92"/>
    </row>
    <row r="12" spans="1:79" s="86" customFormat="1" ht="47.25" customHeight="1" x14ac:dyDescent="0.25">
      <c r="A12" s="265"/>
      <c r="B12" s="266"/>
      <c r="C12" s="269"/>
      <c r="D12" s="136" t="s">
        <v>261</v>
      </c>
      <c r="E12" s="135">
        <f>VLOOKUP(E10,'Pick lists'!M2:N8,2,FALSE)</f>
        <v>277248</v>
      </c>
      <c r="F12" s="109"/>
      <c r="G12" s="28"/>
      <c r="H12" s="160">
        <f t="shared" si="0"/>
        <v>277248</v>
      </c>
      <c r="I12" s="178" t="s">
        <v>490</v>
      </c>
      <c r="J12" s="153"/>
      <c r="K12" s="133"/>
      <c r="L12" s="137"/>
      <c r="M12" s="137"/>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45"/>
      <c r="BG12" s="45"/>
      <c r="BH12" s="45"/>
      <c r="BI12" s="1"/>
      <c r="BJ12" s="1"/>
      <c r="BK12" s="1"/>
      <c r="BL12" s="1"/>
      <c r="BM12" s="1"/>
      <c r="BN12" s="1"/>
      <c r="BO12" s="1"/>
      <c r="BP12" s="1"/>
      <c r="BQ12" s="1"/>
      <c r="BR12" s="1"/>
      <c r="BS12" s="1"/>
      <c r="BT12" s="1"/>
      <c r="BU12" s="1"/>
      <c r="BV12" s="1"/>
      <c r="BW12" s="1"/>
      <c r="BX12" s="1"/>
      <c r="BY12" s="1"/>
      <c r="BZ12" s="1"/>
      <c r="CA12" s="1"/>
    </row>
    <row r="13" spans="1:79" s="86" customFormat="1" x14ac:dyDescent="0.25">
      <c r="A13" s="265"/>
      <c r="B13" s="266"/>
      <c r="C13" s="269"/>
      <c r="D13" s="136" t="s">
        <v>269</v>
      </c>
      <c r="E13" s="157">
        <f>ROUND((E7*E17)/E12,2)</f>
        <v>7.0000000000000007E-2</v>
      </c>
      <c r="F13" s="109"/>
      <c r="G13" s="28"/>
      <c r="H13" s="160">
        <f t="shared" si="0"/>
        <v>7.0000000000000007E-2</v>
      </c>
      <c r="I13" s="137" t="s">
        <v>488</v>
      </c>
      <c r="J13" s="153" t="s">
        <v>551</v>
      </c>
      <c r="K13" s="133"/>
      <c r="L13" s="137"/>
      <c r="M13" s="137"/>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45"/>
      <c r="BG13" s="45"/>
      <c r="BH13" s="45"/>
      <c r="BI13" s="1"/>
      <c r="BJ13" s="1"/>
      <c r="BK13" s="1"/>
      <c r="BL13" s="1"/>
      <c r="BM13" s="1"/>
      <c r="BN13" s="1"/>
      <c r="BO13" s="1"/>
      <c r="BP13" s="1"/>
      <c r="BQ13" s="1"/>
      <c r="BR13" s="1"/>
      <c r="BS13" s="1"/>
      <c r="BT13" s="1"/>
      <c r="BU13" s="1"/>
      <c r="BV13" s="1"/>
      <c r="BW13" s="1"/>
      <c r="BX13" s="1"/>
      <c r="BY13" s="1"/>
      <c r="BZ13" s="1"/>
      <c r="CA13" s="1"/>
    </row>
    <row r="14" spans="1:79" s="86" customFormat="1" ht="45" x14ac:dyDescent="0.25">
      <c r="A14" s="267"/>
      <c r="B14" s="268"/>
      <c r="C14" s="192" t="s">
        <v>571</v>
      </c>
      <c r="D14" s="136" t="s">
        <v>273</v>
      </c>
      <c r="E14" s="101" t="str">
        <f>VLOOKUP(E10,'Country Frequency Mappings(lic)'!A1:FV20,178,FALSE)</f>
        <v>G-900,G-1800,W-1 (2100),W-8 (900),L-3 (1800),L-7 (2600),NR-n12(700),NR-n77(3700)</v>
      </c>
      <c r="F14" s="109"/>
      <c r="G14" s="1"/>
      <c r="H14" s="160"/>
      <c r="I14" s="155" t="s">
        <v>487</v>
      </c>
      <c r="J14" s="156" t="s">
        <v>489</v>
      </c>
      <c r="K14" s="133"/>
      <c r="L14" s="137"/>
      <c r="M14" s="137"/>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45"/>
      <c r="BG14" s="45"/>
      <c r="BH14" s="45"/>
      <c r="BI14" s="1"/>
      <c r="BJ14" s="1"/>
      <c r="BK14" s="1"/>
      <c r="BL14" s="1"/>
      <c r="BM14" s="1"/>
      <c r="BN14" s="1"/>
      <c r="BO14" s="1"/>
      <c r="BP14" s="1"/>
      <c r="BQ14" s="1"/>
      <c r="BR14" s="1"/>
      <c r="BS14" s="1"/>
      <c r="BT14" s="1"/>
      <c r="BU14" s="1"/>
      <c r="BV14" s="1"/>
      <c r="BW14" s="1"/>
      <c r="BX14" s="1"/>
      <c r="BY14" s="1"/>
      <c r="BZ14" s="1"/>
      <c r="CA14" s="1"/>
    </row>
    <row r="15" spans="1:79" s="86" customFormat="1" ht="15" customHeight="1" x14ac:dyDescent="0.25">
      <c r="A15" s="263" t="s">
        <v>142</v>
      </c>
      <c r="B15" s="264"/>
      <c r="C15" s="187"/>
      <c r="D15" s="91" t="s">
        <v>262</v>
      </c>
      <c r="E15" s="105">
        <v>43581.5</v>
      </c>
      <c r="F15" s="109"/>
      <c r="G15" s="150"/>
      <c r="H15" s="161">
        <f>IF(G15="",E15,G15)</f>
        <v>43581.5</v>
      </c>
      <c r="I15" s="137"/>
      <c r="J15" s="153"/>
      <c r="K15" s="133"/>
      <c r="L15" s="137"/>
      <c r="M15" s="137"/>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45"/>
      <c r="BG15" s="45"/>
      <c r="BH15" s="45"/>
      <c r="BI15" s="1"/>
      <c r="BJ15" s="1"/>
      <c r="BK15" s="1"/>
      <c r="BL15" s="1"/>
      <c r="BM15" s="1"/>
      <c r="BN15" s="1"/>
      <c r="BO15" s="1"/>
      <c r="BP15" s="1"/>
      <c r="BQ15" s="1"/>
      <c r="BR15" s="1"/>
      <c r="BS15" s="1"/>
      <c r="BT15" s="1"/>
      <c r="BU15" s="1"/>
      <c r="BV15" s="1"/>
      <c r="BW15" s="1"/>
      <c r="BX15" s="1"/>
      <c r="BY15" s="1"/>
      <c r="BZ15" s="1"/>
      <c r="CA15" s="1"/>
    </row>
    <row r="16" spans="1:79" s="109" customFormat="1" ht="15" customHeight="1" x14ac:dyDescent="0.25">
      <c r="A16" s="267"/>
      <c r="B16" s="268"/>
      <c r="C16" s="187"/>
      <c r="D16" s="91" t="s">
        <v>263</v>
      </c>
      <c r="E16" s="106" t="s">
        <v>274</v>
      </c>
      <c r="G16" s="150"/>
      <c r="H16" s="162" t="str">
        <f>IF(G16="",E16,G16)</f>
        <v>-</v>
      </c>
      <c r="I16" s="137"/>
      <c r="J16" s="153"/>
      <c r="K16" s="133"/>
      <c r="L16" s="137"/>
      <c r="M16" s="137"/>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1"/>
      <c r="BG16" s="111"/>
      <c r="BH16" s="111"/>
      <c r="BI16" s="110"/>
      <c r="BJ16" s="110"/>
      <c r="BK16" s="110"/>
      <c r="BL16" s="110"/>
      <c r="BM16" s="110"/>
      <c r="BN16" s="110"/>
      <c r="BO16" s="110"/>
      <c r="BP16" s="110"/>
      <c r="BQ16" s="110"/>
      <c r="BR16" s="110"/>
      <c r="BS16" s="110"/>
      <c r="BT16" s="110"/>
      <c r="BU16" s="110"/>
      <c r="BV16" s="110"/>
      <c r="BW16" s="110"/>
      <c r="BX16" s="110"/>
      <c r="BY16" s="110"/>
      <c r="BZ16" s="110"/>
      <c r="CA16" s="110"/>
    </row>
    <row r="17" spans="1:79" s="137" customFormat="1" ht="15" customHeight="1" x14ac:dyDescent="0.25">
      <c r="A17" s="261" t="s">
        <v>265</v>
      </c>
      <c r="B17" s="262"/>
      <c r="C17" s="42"/>
      <c r="D17" s="136" t="s">
        <v>500</v>
      </c>
      <c r="E17" s="114">
        <f>VLOOKUP(E4,Profiles!$A$3:$AK$27,37,FALSE)</f>
        <v>0.1</v>
      </c>
      <c r="G17" s="150"/>
      <c r="H17" s="162">
        <f>IF(G17="",E17,G17)</f>
        <v>0.1</v>
      </c>
      <c r="I17" s="137" t="s">
        <v>517</v>
      </c>
      <c r="J17" s="153" t="s">
        <v>499</v>
      </c>
      <c r="K17" s="133"/>
      <c r="S17" s="138"/>
      <c r="T17" s="138"/>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8"/>
      <c r="AW17" s="138"/>
      <c r="AX17" s="138"/>
      <c r="AY17" s="138"/>
      <c r="AZ17" s="138"/>
      <c r="BA17" s="138"/>
      <c r="BB17" s="138"/>
      <c r="BC17" s="138"/>
      <c r="BD17" s="138"/>
      <c r="BE17" s="138"/>
      <c r="BF17" s="133"/>
      <c r="BG17" s="133"/>
      <c r="BH17" s="133"/>
      <c r="BI17" s="138"/>
      <c r="BJ17" s="138"/>
      <c r="BK17" s="138"/>
      <c r="BL17" s="138"/>
      <c r="BM17" s="138"/>
      <c r="BN17" s="138"/>
      <c r="BO17" s="138"/>
      <c r="BP17" s="138"/>
      <c r="BQ17" s="138"/>
      <c r="BR17" s="138"/>
      <c r="BS17" s="138"/>
      <c r="BT17" s="138"/>
      <c r="BU17" s="138"/>
      <c r="BV17" s="138"/>
      <c r="BW17" s="138"/>
      <c r="BX17" s="138"/>
      <c r="BY17" s="138"/>
      <c r="BZ17" s="138"/>
      <c r="CA17" s="138"/>
    </row>
    <row r="18" spans="1:79" s="86" customFormat="1" ht="15" customHeight="1" x14ac:dyDescent="0.25">
      <c r="A18" s="282"/>
      <c r="B18" s="283"/>
      <c r="C18" s="198" t="s">
        <v>576</v>
      </c>
      <c r="D18" s="25" t="s">
        <v>266</v>
      </c>
      <c r="E18" s="103">
        <f>VLOOKUP(E4,Profiles!$A$3:$AJ$27,3,FALSE)</f>
        <v>100000</v>
      </c>
      <c r="F18" s="109"/>
      <c r="G18" s="150"/>
      <c r="H18" s="160">
        <f t="shared" si="0"/>
        <v>100000</v>
      </c>
      <c r="I18" s="137" t="s">
        <v>518</v>
      </c>
      <c r="J18" s="153"/>
      <c r="K18" s="133"/>
      <c r="L18" s="137"/>
      <c r="M18" s="137"/>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45"/>
      <c r="BG18" s="45"/>
      <c r="BH18" s="45"/>
      <c r="BI18" s="1"/>
      <c r="BJ18" s="1"/>
      <c r="BK18" s="1"/>
      <c r="BL18" s="1"/>
      <c r="BM18" s="1"/>
      <c r="BN18" s="1"/>
      <c r="BO18" s="1"/>
      <c r="BP18" s="1"/>
      <c r="BQ18" s="1"/>
      <c r="BR18" s="1"/>
      <c r="BS18" s="1"/>
      <c r="BT18" s="1"/>
      <c r="BU18" s="1"/>
      <c r="BV18" s="1"/>
      <c r="BW18" s="1"/>
      <c r="BX18" s="1"/>
      <c r="BY18" s="1"/>
      <c r="BZ18" s="1"/>
      <c r="CA18" s="1"/>
    </row>
    <row r="19" spans="1:79" s="86" customFormat="1" ht="15.75" x14ac:dyDescent="0.25">
      <c r="A19" s="282"/>
      <c r="B19" s="283"/>
      <c r="C19" s="199" t="s">
        <v>567</v>
      </c>
      <c r="D19" s="25" t="s">
        <v>267</v>
      </c>
      <c r="E19" s="103">
        <f>VLOOKUP(E4,Profiles!$A$3:$AJ$27,4,FALSE)</f>
        <v>100000</v>
      </c>
      <c r="F19" s="109"/>
      <c r="G19" s="150"/>
      <c r="H19" s="160">
        <f t="shared" si="0"/>
        <v>100000</v>
      </c>
      <c r="I19" s="137" t="s">
        <v>519</v>
      </c>
      <c r="J19" s="153"/>
      <c r="K19" s="133"/>
      <c r="L19" s="137"/>
      <c r="M19" s="137"/>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45"/>
      <c r="BG19" s="45"/>
      <c r="BH19" s="45"/>
      <c r="BI19" s="1"/>
      <c r="BJ19" s="1"/>
      <c r="BK19" s="1"/>
      <c r="BL19" s="1"/>
      <c r="BM19" s="1"/>
      <c r="BN19" s="1"/>
      <c r="BO19" s="1"/>
      <c r="BP19" s="1"/>
      <c r="BQ19" s="1"/>
      <c r="BR19" s="1"/>
      <c r="BS19" s="1"/>
      <c r="BT19" s="1"/>
      <c r="BU19" s="1"/>
      <c r="BV19" s="1"/>
      <c r="BW19" s="1"/>
      <c r="BX19" s="1"/>
      <c r="BY19" s="1"/>
      <c r="BZ19" s="1"/>
      <c r="CA19" s="1"/>
    </row>
    <row r="20" spans="1:79" s="86" customFormat="1" ht="30" x14ac:dyDescent="0.25">
      <c r="A20" s="282"/>
      <c r="B20" s="283"/>
      <c r="C20" s="191" t="s">
        <v>574</v>
      </c>
      <c r="D20" s="187" t="s">
        <v>268</v>
      </c>
      <c r="E20" s="103">
        <f>VLOOKUP(E4,Profiles!$A$3:$AJ$27,5,FALSE)</f>
        <v>3000</v>
      </c>
      <c r="F20" s="109"/>
      <c r="G20" s="150"/>
      <c r="H20" s="160">
        <f t="shared" si="0"/>
        <v>3000</v>
      </c>
      <c r="I20" s="137" t="s">
        <v>520</v>
      </c>
      <c r="J20" s="155" t="s">
        <v>555</v>
      </c>
      <c r="K20" s="133"/>
      <c r="L20" s="137"/>
      <c r="M20" s="137"/>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45"/>
      <c r="BG20" s="45"/>
      <c r="BH20" s="45"/>
      <c r="BI20" s="1"/>
      <c r="BJ20" s="1"/>
      <c r="BK20" s="1"/>
      <c r="BL20" s="1"/>
      <c r="BM20" s="1"/>
      <c r="BN20" s="1"/>
      <c r="BO20" s="1"/>
      <c r="BP20" s="1"/>
      <c r="BQ20" s="1"/>
      <c r="BR20" s="1"/>
      <c r="BS20" s="1"/>
      <c r="BT20" s="1"/>
      <c r="BU20" s="1"/>
      <c r="BV20" s="1"/>
      <c r="BW20" s="1"/>
      <c r="BX20" s="1"/>
      <c r="BY20" s="1"/>
      <c r="BZ20" s="1"/>
      <c r="CA20" s="1"/>
    </row>
    <row r="21" spans="1:79" s="90" customFormat="1" x14ac:dyDescent="0.25">
      <c r="A21" s="282"/>
      <c r="B21" s="283"/>
      <c r="C21" s="194"/>
      <c r="D21" s="25" t="s">
        <v>270</v>
      </c>
      <c r="E21" s="104">
        <f>ROUND((E13*E18)/(1024*1024),0)</f>
        <v>0</v>
      </c>
      <c r="F21" s="109"/>
      <c r="G21" s="150"/>
      <c r="H21" s="163">
        <f t="shared" si="0"/>
        <v>0</v>
      </c>
      <c r="I21" s="90" t="s">
        <v>521</v>
      </c>
      <c r="J21" s="153" t="s">
        <v>556</v>
      </c>
      <c r="K21" s="133"/>
      <c r="S21" s="92"/>
      <c r="T21" s="92"/>
      <c r="U21" s="92"/>
      <c r="V21" s="92"/>
      <c r="W21" s="92"/>
      <c r="X21" s="92"/>
      <c r="Y21" s="92"/>
      <c r="Z21" s="92"/>
      <c r="AA21" s="92"/>
      <c r="AB21" s="92"/>
      <c r="AC21" s="92"/>
      <c r="AD21" s="92"/>
      <c r="AE21" s="92"/>
      <c r="AF21" s="92"/>
      <c r="AG21" s="92"/>
      <c r="AH21" s="92"/>
      <c r="AI21" s="92"/>
      <c r="AJ21" s="92"/>
      <c r="AK21" s="92"/>
      <c r="AL21" s="92"/>
      <c r="AM21" s="92"/>
      <c r="AN21" s="92"/>
      <c r="AO21" s="92"/>
      <c r="AP21" s="92"/>
      <c r="AQ21" s="92"/>
      <c r="AR21" s="92"/>
      <c r="AS21" s="92"/>
      <c r="AT21" s="92"/>
      <c r="AU21" s="92"/>
      <c r="AV21" s="92"/>
      <c r="AW21" s="92"/>
      <c r="AX21" s="92"/>
      <c r="AY21" s="92"/>
      <c r="AZ21" s="92"/>
      <c r="BA21" s="92"/>
      <c r="BB21" s="92"/>
      <c r="BC21" s="92"/>
      <c r="BD21" s="92"/>
      <c r="BE21" s="92"/>
      <c r="BF21" s="93"/>
      <c r="BG21" s="93"/>
      <c r="BH21" s="93"/>
      <c r="BI21" s="92"/>
      <c r="BJ21" s="92"/>
      <c r="BK21" s="92"/>
      <c r="BL21" s="92"/>
      <c r="BM21" s="92"/>
      <c r="BN21" s="92"/>
      <c r="BO21" s="92"/>
      <c r="BP21" s="92"/>
      <c r="BQ21" s="92"/>
      <c r="BR21" s="92"/>
      <c r="BS21" s="92"/>
      <c r="BT21" s="92"/>
      <c r="BU21" s="92"/>
      <c r="BV21" s="92"/>
      <c r="BW21" s="92"/>
      <c r="BX21" s="92"/>
      <c r="BY21" s="92"/>
      <c r="BZ21" s="92"/>
      <c r="CA21" s="92"/>
    </row>
    <row r="22" spans="1:79" s="124" customFormat="1" ht="15.75" x14ac:dyDescent="0.25">
      <c r="A22" s="284"/>
      <c r="B22" s="285"/>
      <c r="C22" s="193"/>
      <c r="D22" s="25" t="s">
        <v>271</v>
      </c>
      <c r="E22" s="104">
        <f>ROUND((E13*E19)/(1024*1024),0)</f>
        <v>0</v>
      </c>
      <c r="G22" s="150"/>
      <c r="H22" s="163">
        <f t="shared" si="0"/>
        <v>0</v>
      </c>
      <c r="I22" s="137" t="s">
        <v>522</v>
      </c>
      <c r="J22" s="153"/>
      <c r="K22" s="133"/>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6"/>
      <c r="BG22" s="126"/>
      <c r="BH22" s="126"/>
      <c r="BI22" s="125"/>
      <c r="BJ22" s="125"/>
      <c r="BK22" s="125"/>
      <c r="BL22" s="125"/>
      <c r="BM22" s="125"/>
      <c r="BN22" s="125"/>
      <c r="BO22" s="125"/>
      <c r="BP22" s="125"/>
      <c r="BQ22" s="125"/>
      <c r="BR22" s="125"/>
      <c r="BS22" s="125"/>
      <c r="BT22" s="125"/>
      <c r="BU22" s="125"/>
      <c r="BV22" s="125"/>
      <c r="BW22" s="125"/>
      <c r="BX22" s="125"/>
      <c r="BY22" s="125"/>
      <c r="BZ22" s="125"/>
      <c r="CA22" s="125"/>
    </row>
    <row r="23" spans="1:79" s="86" customFormat="1" ht="15" customHeight="1" x14ac:dyDescent="0.25">
      <c r="A23" s="269" t="s">
        <v>272</v>
      </c>
      <c r="B23" s="269"/>
      <c r="C23" s="270" t="s">
        <v>571</v>
      </c>
      <c r="D23" s="107" t="s">
        <v>309</v>
      </c>
      <c r="E23" s="119" t="s">
        <v>310</v>
      </c>
      <c r="F23" s="109"/>
      <c r="G23" s="150"/>
      <c r="H23" s="160" t="str">
        <f t="shared" si="0"/>
        <v>35305519, 35305520</v>
      </c>
      <c r="I23" s="275" t="s">
        <v>573</v>
      </c>
      <c r="J23" s="275" t="s">
        <v>524</v>
      </c>
      <c r="K23" s="133"/>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45"/>
      <c r="BG23" s="45"/>
      <c r="BH23" s="45"/>
      <c r="BI23" s="1"/>
      <c r="BJ23" s="1"/>
      <c r="BK23" s="1"/>
      <c r="BL23" s="1"/>
      <c r="BM23" s="1"/>
      <c r="BN23" s="1"/>
      <c r="BO23" s="1"/>
      <c r="BP23" s="1"/>
      <c r="BQ23" s="1"/>
      <c r="BR23" s="1"/>
      <c r="BS23" s="1"/>
      <c r="BT23" s="1"/>
      <c r="BU23" s="1"/>
      <c r="BV23" s="1"/>
      <c r="BW23" s="1"/>
      <c r="BX23" s="1"/>
      <c r="BY23" s="1"/>
      <c r="BZ23" s="1"/>
      <c r="CA23" s="1"/>
    </row>
    <row r="24" spans="1:79" s="86" customFormat="1" ht="45" x14ac:dyDescent="0.25">
      <c r="A24" s="269"/>
      <c r="B24" s="269"/>
      <c r="C24" s="271"/>
      <c r="D24" s="197" t="s">
        <v>587</v>
      </c>
      <c r="E24" s="102" t="str">
        <f>VLOOKUP(35305519,'IMEI TAC Database'!A1:FF10,162,FALSE)</f>
        <v>L-1 (2100),L-2 (1900),L-3 (1800),L-4 (1700),L-5 (850),,L-8 (900),NR-n5(850),NR-n28(700),NR-n34(2100),NR-n40(2300),NR-n41(2500),NR-n78(3500)</v>
      </c>
      <c r="F24" s="109"/>
      <c r="G24" s="137"/>
      <c r="H24" s="164"/>
      <c r="I24" s="275"/>
      <c r="J24" s="275"/>
      <c r="K24" s="133"/>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45"/>
      <c r="BG24" s="45"/>
      <c r="BH24" s="45"/>
      <c r="BI24" s="1"/>
      <c r="BJ24" s="1"/>
      <c r="BK24" s="1"/>
      <c r="BL24" s="1"/>
      <c r="BM24" s="1"/>
      <c r="BN24" s="1"/>
      <c r="BO24" s="1"/>
      <c r="BP24" s="1"/>
      <c r="BQ24" s="1"/>
      <c r="BR24" s="1"/>
      <c r="BS24" s="1"/>
      <c r="BT24" s="1"/>
      <c r="BU24" s="1"/>
      <c r="BV24" s="1"/>
      <c r="BW24" s="1"/>
      <c r="BX24" s="1"/>
      <c r="BY24" s="1"/>
      <c r="BZ24" s="1"/>
      <c r="CA24" s="1"/>
    </row>
    <row r="25" spans="1:79" s="39" customFormat="1" ht="30" x14ac:dyDescent="0.25">
      <c r="A25" s="269"/>
      <c r="B25" s="269"/>
      <c r="C25" s="187" t="s">
        <v>575</v>
      </c>
      <c r="D25" s="136" t="s">
        <v>299</v>
      </c>
      <c r="E25" s="114" t="str">
        <f>VLOOKUP(E4,Profiles!$A$3:$AJ$27,6,FALSE)</f>
        <v>Yes</v>
      </c>
      <c r="G25" s="152"/>
      <c r="H25" s="160" t="str">
        <f t="shared" ref="H25:H49" si="1">IF(G25="",E25,G25)</f>
        <v>Yes</v>
      </c>
      <c r="I25" s="39" t="s">
        <v>512</v>
      </c>
      <c r="J25" s="159" t="s">
        <v>507</v>
      </c>
      <c r="K25" s="133"/>
    </row>
    <row r="26" spans="1:79" s="90" customFormat="1" x14ac:dyDescent="0.25">
      <c r="A26" s="254" t="s">
        <v>566</v>
      </c>
      <c r="B26" s="254"/>
      <c r="C26" s="191" t="s">
        <v>306</v>
      </c>
      <c r="D26" s="25" t="s">
        <v>306</v>
      </c>
      <c r="E26" s="102" t="str">
        <f>VLOOKUP(E4,Profiles!$A$3:$AJ$28,27,FALSE)</f>
        <v>Yes</v>
      </c>
      <c r="F26" s="109"/>
      <c r="G26" s="150"/>
      <c r="H26" s="161" t="str">
        <f>IF(G26="",E26,G26)</f>
        <v>Yes</v>
      </c>
      <c r="I26" s="90" t="s">
        <v>513</v>
      </c>
      <c r="J26" s="153"/>
      <c r="K26" s="133"/>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3"/>
      <c r="BG26" s="93"/>
      <c r="BH26" s="93"/>
      <c r="BI26" s="92"/>
      <c r="BJ26" s="92"/>
      <c r="BK26" s="92"/>
      <c r="BL26" s="92"/>
      <c r="BM26" s="92"/>
      <c r="BN26" s="92"/>
      <c r="BO26" s="92"/>
      <c r="BP26" s="92"/>
      <c r="BQ26" s="92"/>
      <c r="BR26" s="92"/>
      <c r="BS26" s="92"/>
      <c r="BT26" s="92"/>
      <c r="BU26" s="92"/>
      <c r="BV26" s="92"/>
      <c r="BW26" s="92"/>
      <c r="BX26" s="92"/>
      <c r="BY26" s="92"/>
      <c r="BZ26" s="92"/>
      <c r="CA26" s="92"/>
    </row>
    <row r="27" spans="1:79" s="90" customFormat="1" x14ac:dyDescent="0.25">
      <c r="A27" s="254"/>
      <c r="B27" s="254"/>
      <c r="C27" s="191" t="s">
        <v>217</v>
      </c>
      <c r="D27" s="25" t="s">
        <v>217</v>
      </c>
      <c r="E27" s="103" t="str">
        <f>VLOOKUP(E4,Profiles!$A$3:$AJ$27,21,FALSE)</f>
        <v>No</v>
      </c>
      <c r="F27" s="109"/>
      <c r="G27" s="150"/>
      <c r="H27" s="161" t="str">
        <f t="shared" si="1"/>
        <v>No</v>
      </c>
      <c r="I27" s="90" t="s">
        <v>514</v>
      </c>
      <c r="J27" s="153"/>
      <c r="K27" s="133"/>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3"/>
      <c r="BG27" s="93"/>
      <c r="BH27" s="93"/>
      <c r="BI27" s="92"/>
      <c r="BJ27" s="92"/>
      <c r="BK27" s="92"/>
      <c r="BL27" s="92"/>
      <c r="BM27" s="92"/>
      <c r="BN27" s="92"/>
      <c r="BO27" s="92"/>
      <c r="BP27" s="92"/>
      <c r="BQ27" s="92"/>
      <c r="BR27" s="92"/>
      <c r="BS27" s="92"/>
      <c r="BT27" s="92"/>
      <c r="BU27" s="92"/>
      <c r="BV27" s="92"/>
      <c r="BW27" s="92"/>
      <c r="BX27" s="92"/>
      <c r="BY27" s="92"/>
      <c r="BZ27" s="92"/>
      <c r="CA27" s="92"/>
    </row>
    <row r="28" spans="1:79" s="109" customFormat="1" ht="14.25" customHeight="1" x14ac:dyDescent="0.25">
      <c r="A28" s="254"/>
      <c r="B28" s="254"/>
      <c r="C28" s="182" t="s">
        <v>281</v>
      </c>
      <c r="D28" s="136" t="s">
        <v>281</v>
      </c>
      <c r="E28" s="102" t="s">
        <v>274</v>
      </c>
      <c r="G28" s="150"/>
      <c r="H28" s="161" t="str">
        <f t="shared" si="1"/>
        <v>-</v>
      </c>
      <c r="I28" s="109" t="s">
        <v>554</v>
      </c>
      <c r="J28" s="153"/>
      <c r="K28" s="133"/>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1"/>
      <c r="BG28" s="111"/>
      <c r="BH28" s="111"/>
      <c r="BI28" s="110"/>
      <c r="BJ28" s="110"/>
      <c r="BK28" s="110"/>
      <c r="BL28" s="110"/>
      <c r="BM28" s="110"/>
      <c r="BN28" s="110"/>
      <c r="BO28" s="110"/>
      <c r="BP28" s="110"/>
      <c r="BQ28" s="110"/>
      <c r="BR28" s="110"/>
      <c r="BS28" s="110"/>
      <c r="BT28" s="110"/>
      <c r="BU28" s="110"/>
      <c r="BV28" s="110"/>
      <c r="BW28" s="110"/>
      <c r="BX28" s="110"/>
      <c r="BY28" s="110"/>
      <c r="BZ28" s="110"/>
      <c r="CA28" s="110"/>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159"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s="124" customFormat="1" x14ac:dyDescent="0.25">
      <c r="A30" s="254"/>
      <c r="B30" s="254"/>
      <c r="C30" s="107" t="s">
        <v>278</v>
      </c>
      <c r="D30" s="107" t="s">
        <v>278</v>
      </c>
      <c r="E30" s="102" t="str">
        <f>VLOOKUP(E4,Profiles!$A$3:$AJ$27,15,FALSE)</f>
        <v>No</v>
      </c>
      <c r="G30" s="150"/>
      <c r="H30" s="161" t="str">
        <f t="shared" si="1"/>
        <v>No</v>
      </c>
      <c r="I30" s="124" t="s">
        <v>515</v>
      </c>
      <c r="J30" s="153"/>
      <c r="K30" s="133"/>
      <c r="S30" s="125"/>
      <c r="T30" s="125"/>
      <c r="U30" s="125"/>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6"/>
      <c r="BG30" s="126"/>
      <c r="BH30" s="126"/>
      <c r="BI30" s="125"/>
      <c r="BJ30" s="125"/>
      <c r="BK30" s="125"/>
      <c r="BL30" s="125"/>
      <c r="BM30" s="125"/>
      <c r="BN30" s="125"/>
      <c r="BO30" s="125"/>
      <c r="BP30" s="125"/>
      <c r="BQ30" s="125"/>
      <c r="BR30" s="125"/>
      <c r="BS30" s="125"/>
      <c r="BT30" s="125"/>
      <c r="BU30" s="125"/>
      <c r="BV30" s="125"/>
      <c r="BW30" s="125"/>
      <c r="BX30" s="125"/>
      <c r="BY30" s="125"/>
      <c r="BZ30" s="125"/>
      <c r="CA30" s="125"/>
    </row>
    <row r="31" spans="1:79" s="90" customFormat="1" x14ac:dyDescent="0.25">
      <c r="A31" s="254"/>
      <c r="B31" s="254"/>
      <c r="C31" s="187" t="s">
        <v>208</v>
      </c>
      <c r="D31" s="136" t="s">
        <v>208</v>
      </c>
      <c r="E31" s="102" t="s">
        <v>274</v>
      </c>
      <c r="F31" s="109"/>
      <c r="G31" s="150"/>
      <c r="H31" s="161" t="str">
        <f t="shared" si="1"/>
        <v>-</v>
      </c>
      <c r="I31" s="90" t="s">
        <v>552</v>
      </c>
      <c r="J31" s="156" t="s">
        <v>550</v>
      </c>
      <c r="K31" s="133"/>
      <c r="S31" s="92"/>
      <c r="T31" s="92"/>
      <c r="U31" s="92"/>
      <c r="V31" s="92"/>
      <c r="W31" s="92"/>
      <c r="X31" s="92"/>
      <c r="Y31" s="92"/>
      <c r="Z31" s="92"/>
      <c r="AA31" s="92"/>
      <c r="AB31" s="92"/>
      <c r="AC31" s="92"/>
      <c r="AD31" s="92"/>
      <c r="AE31" s="92"/>
      <c r="AF31" s="92"/>
      <c r="AG31" s="92"/>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3"/>
      <c r="BG31" s="93"/>
      <c r="BH31" s="93"/>
      <c r="BI31" s="92"/>
      <c r="BJ31" s="92"/>
      <c r="BK31" s="92"/>
      <c r="BL31" s="92"/>
      <c r="BM31" s="92"/>
      <c r="BN31" s="92"/>
      <c r="BO31" s="92"/>
      <c r="BP31" s="92"/>
      <c r="BQ31" s="92"/>
      <c r="BR31" s="92"/>
      <c r="BS31" s="92"/>
      <c r="BT31" s="92"/>
      <c r="BU31" s="92"/>
      <c r="BV31" s="92"/>
      <c r="BW31" s="92"/>
      <c r="BX31" s="92"/>
      <c r="BY31" s="92"/>
      <c r="BZ31" s="92"/>
      <c r="CA31" s="92"/>
    </row>
    <row r="32" spans="1:79" s="167" customFormat="1" x14ac:dyDescent="0.25">
      <c r="A32" s="254"/>
      <c r="B32" s="254"/>
      <c r="C32" s="191" t="s">
        <v>557</v>
      </c>
      <c r="D32" s="166" t="s">
        <v>557</v>
      </c>
      <c r="E32" s="102"/>
      <c r="G32" s="150"/>
      <c r="H32" s="161"/>
      <c r="I32" s="167" t="s">
        <v>552</v>
      </c>
      <c r="J32" s="156" t="s">
        <v>558</v>
      </c>
      <c r="K32" s="133"/>
      <c r="S32" s="168"/>
      <c r="T32" s="168"/>
      <c r="U32" s="168"/>
      <c r="V32" s="168"/>
      <c r="W32" s="168"/>
      <c r="X32" s="168"/>
      <c r="Y32" s="168"/>
      <c r="Z32" s="168"/>
      <c r="AA32" s="168"/>
      <c r="AB32" s="168"/>
      <c r="AC32" s="168"/>
      <c r="AD32" s="168"/>
      <c r="AE32" s="168"/>
      <c r="AF32" s="168"/>
      <c r="AG32" s="168"/>
      <c r="AH32" s="168"/>
      <c r="AI32" s="168"/>
      <c r="AJ32" s="168"/>
      <c r="AK32" s="168"/>
      <c r="AL32" s="168"/>
      <c r="AM32" s="168"/>
      <c r="AN32" s="168"/>
      <c r="AO32" s="168"/>
      <c r="AP32" s="168"/>
      <c r="AQ32" s="168"/>
      <c r="AR32" s="168"/>
      <c r="AS32" s="168"/>
      <c r="AT32" s="168"/>
      <c r="AU32" s="168"/>
      <c r="AV32" s="168"/>
      <c r="AW32" s="168"/>
      <c r="AX32" s="168"/>
      <c r="AY32" s="168"/>
      <c r="AZ32" s="168"/>
      <c r="BA32" s="168"/>
      <c r="BB32" s="168"/>
      <c r="BC32" s="168"/>
      <c r="BD32" s="168"/>
      <c r="BE32" s="168"/>
      <c r="BF32" s="133"/>
      <c r="BG32" s="133"/>
      <c r="BH32" s="133"/>
      <c r="BI32" s="168"/>
      <c r="BJ32" s="168"/>
      <c r="BK32" s="168"/>
      <c r="BL32" s="168"/>
      <c r="BM32" s="168"/>
      <c r="BN32" s="168"/>
      <c r="BO32" s="168"/>
      <c r="BP32" s="168"/>
      <c r="BQ32" s="168"/>
      <c r="BR32" s="168"/>
      <c r="BS32" s="168"/>
      <c r="BT32" s="168"/>
      <c r="BU32" s="168"/>
      <c r="BV32" s="168"/>
      <c r="BW32" s="168"/>
      <c r="BX32" s="168"/>
      <c r="BY32" s="168"/>
      <c r="BZ32" s="168"/>
      <c r="CA32" s="168"/>
    </row>
    <row r="33" spans="1:79" s="109" customFormat="1" ht="15" customHeight="1" x14ac:dyDescent="0.25">
      <c r="A33" s="254"/>
      <c r="B33" s="254"/>
      <c r="C33" s="191" t="s">
        <v>574</v>
      </c>
      <c r="D33" s="136" t="s">
        <v>280</v>
      </c>
      <c r="E33" s="145">
        <f>VLOOKUP(E4,Profiles!$A$3:$AJ$27,35,FALSE)</f>
        <v>6</v>
      </c>
      <c r="G33" s="150"/>
      <c r="H33" s="162">
        <f t="shared" si="1"/>
        <v>6</v>
      </c>
      <c r="I33" s="116" t="s">
        <v>553</v>
      </c>
      <c r="J33" s="153"/>
      <c r="K33" s="133"/>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1"/>
      <c r="BG33" s="111"/>
      <c r="BH33" s="111"/>
      <c r="BI33" s="110"/>
      <c r="BJ33" s="110"/>
      <c r="BK33" s="110"/>
      <c r="BL33" s="110"/>
      <c r="BM33" s="110"/>
      <c r="BN33" s="110"/>
      <c r="BO33" s="110"/>
      <c r="BP33" s="110"/>
      <c r="BQ33" s="110"/>
      <c r="BR33" s="110"/>
      <c r="BS33" s="110"/>
      <c r="BT33" s="110"/>
      <c r="BU33" s="110"/>
      <c r="BV33" s="110"/>
      <c r="BW33" s="110"/>
      <c r="BX33" s="110"/>
      <c r="BY33" s="110"/>
      <c r="BZ33" s="110"/>
      <c r="CA33" s="110"/>
    </row>
    <row r="34" spans="1:79" s="86" customFormat="1" ht="15" customHeight="1" x14ac:dyDescent="0.25">
      <c r="A34" s="254"/>
      <c r="B34" s="254"/>
      <c r="C34" s="182" t="s">
        <v>215</v>
      </c>
      <c r="D34" s="136" t="s">
        <v>215</v>
      </c>
      <c r="E34" s="102" t="str">
        <f>VLOOKUP(E4,Profiles!$A$3:$AJ$27,19,FALSE)</f>
        <v>No</v>
      </c>
      <c r="F34" s="109"/>
      <c r="G34" s="150"/>
      <c r="H34" s="161" t="str">
        <f t="shared" si="1"/>
        <v>No</v>
      </c>
      <c r="I34" s="156" t="s">
        <v>486</v>
      </c>
      <c r="J34" s="153"/>
      <c r="K34" s="133"/>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45"/>
      <c r="BG34" s="45"/>
      <c r="BH34" s="45"/>
      <c r="BI34" s="1"/>
      <c r="BJ34" s="1"/>
      <c r="BK34" s="1"/>
      <c r="BL34" s="1"/>
      <c r="BM34" s="1"/>
      <c r="BN34" s="1"/>
      <c r="BO34" s="1"/>
      <c r="BP34" s="1"/>
      <c r="BQ34" s="1"/>
      <c r="BR34" s="1"/>
      <c r="BS34" s="1"/>
      <c r="BT34" s="1"/>
      <c r="BU34" s="1"/>
      <c r="BV34" s="1"/>
      <c r="BW34" s="1"/>
      <c r="BX34" s="1"/>
      <c r="BY34" s="1"/>
      <c r="BZ34" s="1"/>
      <c r="CA34" s="1"/>
    </row>
    <row r="35" spans="1:79" s="109" customFormat="1" x14ac:dyDescent="0.25">
      <c r="A35" s="254"/>
      <c r="B35" s="254"/>
      <c r="C35" s="187" t="s">
        <v>279</v>
      </c>
      <c r="D35" s="136" t="s">
        <v>279</v>
      </c>
      <c r="E35" s="102" t="str">
        <f>VLOOKUP(E4,Profiles!$A$3:$AJ$27,11,FALSE)</f>
        <v>Yes</v>
      </c>
      <c r="G35" s="150"/>
      <c r="H35" s="161" t="str">
        <f t="shared" si="1"/>
        <v>Yes</v>
      </c>
      <c r="I35" s="156" t="s">
        <v>485</v>
      </c>
      <c r="J35" s="153"/>
      <c r="K35" s="133"/>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1"/>
      <c r="BG35" s="111"/>
      <c r="BH35" s="111"/>
      <c r="BI35" s="110"/>
      <c r="BJ35" s="110"/>
      <c r="BK35" s="110"/>
      <c r="BL35" s="110"/>
      <c r="BM35" s="110"/>
      <c r="BN35" s="110"/>
      <c r="BO35" s="110"/>
      <c r="BP35" s="110"/>
      <c r="BQ35" s="110"/>
      <c r="BR35" s="110"/>
      <c r="BS35" s="110"/>
      <c r="BT35" s="110"/>
      <c r="BU35" s="110"/>
      <c r="BV35" s="110"/>
      <c r="BW35" s="110"/>
      <c r="BX35" s="110"/>
      <c r="BY35" s="110"/>
      <c r="BZ35" s="110"/>
      <c r="CA35" s="110"/>
    </row>
    <row r="36" spans="1:79" s="167" customFormat="1" ht="45" x14ac:dyDescent="0.25">
      <c r="A36" s="254"/>
      <c r="B36" s="254"/>
      <c r="C36" s="182" t="s">
        <v>559</v>
      </c>
      <c r="D36" s="166" t="s">
        <v>559</v>
      </c>
      <c r="E36" s="102" t="str">
        <f>VLOOKUP(E4,Profiles!$A$3:$AJ$27,25,FALSE)</f>
        <v>No</v>
      </c>
      <c r="G36" s="150"/>
      <c r="H36" s="161"/>
      <c r="I36" s="185" t="s">
        <v>561</v>
      </c>
      <c r="J36" s="155" t="s">
        <v>564</v>
      </c>
      <c r="K36" s="133"/>
      <c r="S36" s="168"/>
      <c r="T36" s="168"/>
      <c r="U36" s="168"/>
      <c r="V36" s="168"/>
      <c r="W36" s="168"/>
      <c r="X36" s="168"/>
      <c r="Y36" s="168"/>
      <c r="Z36" s="168"/>
      <c r="AA36" s="168"/>
      <c r="AB36" s="168"/>
      <c r="AC36" s="168"/>
      <c r="AD36" s="168"/>
      <c r="AE36" s="168"/>
      <c r="AF36" s="168"/>
      <c r="AG36" s="168"/>
      <c r="AH36" s="168"/>
      <c r="AI36" s="168"/>
      <c r="AJ36" s="168"/>
      <c r="AK36" s="168"/>
      <c r="AL36" s="168"/>
      <c r="AM36" s="168"/>
      <c r="AN36" s="168"/>
      <c r="AO36" s="168"/>
      <c r="AP36" s="168"/>
      <c r="AQ36" s="168"/>
      <c r="AR36" s="168"/>
      <c r="AS36" s="168"/>
      <c r="AT36" s="168"/>
      <c r="AU36" s="168"/>
      <c r="AV36" s="168"/>
      <c r="AW36" s="168"/>
      <c r="AX36" s="168"/>
      <c r="AY36" s="168"/>
      <c r="AZ36" s="168"/>
      <c r="BA36" s="168"/>
      <c r="BB36" s="168"/>
      <c r="BC36" s="168"/>
      <c r="BD36" s="168"/>
      <c r="BE36" s="168"/>
      <c r="BF36" s="133"/>
      <c r="BG36" s="133"/>
      <c r="BH36" s="133"/>
      <c r="BI36" s="168"/>
      <c r="BJ36" s="168"/>
      <c r="BK36" s="168"/>
      <c r="BL36" s="168"/>
      <c r="BM36" s="168"/>
      <c r="BN36" s="168"/>
      <c r="BO36" s="168"/>
      <c r="BP36" s="168"/>
      <c r="BQ36" s="168"/>
      <c r="BR36" s="168"/>
      <c r="BS36" s="168"/>
      <c r="BT36" s="168"/>
      <c r="BU36" s="168"/>
      <c r="BV36" s="168"/>
      <c r="BW36" s="168"/>
      <c r="BX36" s="168"/>
      <c r="BY36" s="168"/>
      <c r="BZ36" s="168"/>
      <c r="CA36" s="168"/>
    </row>
    <row r="37" spans="1:79" s="183" customFormat="1" ht="45" x14ac:dyDescent="0.25">
      <c r="A37" s="254"/>
      <c r="B37" s="254"/>
      <c r="C37" s="182" t="s">
        <v>560</v>
      </c>
      <c r="D37" s="182" t="s">
        <v>560</v>
      </c>
      <c r="E37" s="102" t="str">
        <f>VLOOKUP(E4,Profiles!$A$3:$AJ$27,24,FALSE)</f>
        <v>SSC1</v>
      </c>
      <c r="G37" s="150"/>
      <c r="H37" s="161"/>
      <c r="I37" s="156" t="s">
        <v>562</v>
      </c>
      <c r="J37" s="155" t="s">
        <v>565</v>
      </c>
      <c r="K37" s="133"/>
      <c r="S37" s="184"/>
      <c r="T37" s="184"/>
      <c r="U37" s="184"/>
      <c r="V37" s="184"/>
      <c r="W37" s="184"/>
      <c r="X37" s="184"/>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c r="BC37" s="184"/>
      <c r="BD37" s="184"/>
      <c r="BE37" s="184"/>
      <c r="BF37" s="133"/>
      <c r="BG37" s="133"/>
      <c r="BH37" s="133"/>
      <c r="BI37" s="184"/>
      <c r="BJ37" s="184"/>
      <c r="BK37" s="184"/>
      <c r="BL37" s="184"/>
      <c r="BM37" s="184"/>
      <c r="BN37" s="184"/>
      <c r="BO37" s="184"/>
      <c r="BP37" s="184"/>
      <c r="BQ37" s="184"/>
      <c r="BR37" s="184"/>
      <c r="BS37" s="184"/>
      <c r="BT37" s="184"/>
      <c r="BU37" s="184"/>
      <c r="BV37" s="184"/>
      <c r="BW37" s="184"/>
      <c r="BX37" s="184"/>
      <c r="BY37" s="184"/>
      <c r="BZ37" s="184"/>
      <c r="CA37" s="184"/>
    </row>
    <row r="38" spans="1:79" s="188" customFormat="1" ht="30" x14ac:dyDescent="0.25">
      <c r="A38" s="263" t="s">
        <v>582</v>
      </c>
      <c r="B38" s="264"/>
      <c r="C38" s="272" t="s">
        <v>577</v>
      </c>
      <c r="D38" s="187" t="s">
        <v>577</v>
      </c>
      <c r="E38" s="102" t="str">
        <f>VLOOKUP(E4,Profiles!$A$3:$AP$27,42,FALSE)</f>
        <v>Termination in private network</v>
      </c>
      <c r="G38" s="150"/>
      <c r="H38" s="161" t="str">
        <f t="shared" ref="H38" si="2">IF(G38="",E38,G38)</f>
        <v>Termination in private network</v>
      </c>
      <c r="I38" s="190" t="s">
        <v>581</v>
      </c>
      <c r="J38" s="155"/>
      <c r="K38" s="133"/>
      <c r="S38" s="189"/>
      <c r="T38" s="189"/>
      <c r="U38" s="189"/>
      <c r="V38" s="189"/>
      <c r="W38" s="189"/>
      <c r="X38" s="189"/>
      <c r="Y38" s="189"/>
      <c r="Z38" s="189"/>
      <c r="AA38" s="189"/>
      <c r="AB38" s="189"/>
      <c r="AC38" s="189"/>
      <c r="AD38" s="189"/>
      <c r="AE38" s="189"/>
      <c r="AF38" s="189"/>
      <c r="AG38" s="189"/>
      <c r="AH38" s="189"/>
      <c r="AI38" s="189"/>
      <c r="AJ38" s="189"/>
      <c r="AK38" s="189"/>
      <c r="AL38" s="189"/>
      <c r="AM38" s="189"/>
      <c r="AN38" s="189"/>
      <c r="AO38" s="189"/>
      <c r="AP38" s="189"/>
      <c r="AQ38" s="189"/>
      <c r="AR38" s="189"/>
      <c r="AS38" s="189"/>
      <c r="AT38" s="189"/>
      <c r="AU38" s="189"/>
      <c r="AV38" s="189"/>
      <c r="AW38" s="189"/>
      <c r="AX38" s="189"/>
      <c r="AY38" s="189"/>
      <c r="AZ38" s="189"/>
      <c r="BA38" s="189"/>
      <c r="BB38" s="189"/>
      <c r="BC38" s="189"/>
      <c r="BD38" s="189"/>
      <c r="BE38" s="189"/>
      <c r="BF38" s="133"/>
      <c r="BG38" s="133"/>
      <c r="BH38" s="133"/>
      <c r="BI38" s="189"/>
      <c r="BJ38" s="189"/>
      <c r="BK38" s="189"/>
      <c r="BL38" s="189"/>
      <c r="BM38" s="189"/>
      <c r="BN38" s="189"/>
      <c r="BO38" s="189"/>
      <c r="BP38" s="189"/>
      <c r="BQ38" s="189"/>
      <c r="BR38" s="189"/>
      <c r="BS38" s="189"/>
      <c r="BT38" s="189"/>
      <c r="BU38" s="189"/>
      <c r="BV38" s="189"/>
      <c r="BW38" s="189"/>
      <c r="BX38" s="189"/>
      <c r="BY38" s="189"/>
      <c r="BZ38" s="189"/>
      <c r="CA38" s="189"/>
    </row>
    <row r="39" spans="1:79" s="188" customFormat="1" ht="30" x14ac:dyDescent="0.25">
      <c r="A39" s="267"/>
      <c r="B39" s="268"/>
      <c r="C39" s="273"/>
      <c r="D39" s="187" t="s">
        <v>583</v>
      </c>
      <c r="E39" s="102" t="str">
        <f>VLOOKUP(E4,Profiles!$A$3:$AQ$27,43,FALSE)</f>
        <v>VPN</v>
      </c>
      <c r="G39" s="150"/>
      <c r="H39" s="161" t="str">
        <f t="shared" ref="H39" si="3">IF(G39="",E39,G39)</f>
        <v>VPN</v>
      </c>
      <c r="I39" s="190" t="s">
        <v>581</v>
      </c>
      <c r="J39" s="155"/>
      <c r="K39" s="133"/>
      <c r="S39" s="189"/>
      <c r="T39" s="189"/>
      <c r="U39" s="189"/>
      <c r="V39" s="189"/>
      <c r="W39" s="189"/>
      <c r="X39" s="189"/>
      <c r="Y39" s="189"/>
      <c r="Z39" s="189"/>
      <c r="AA39" s="189"/>
      <c r="AB39" s="189"/>
      <c r="AC39" s="189"/>
      <c r="AD39" s="189"/>
      <c r="AE39" s="18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33"/>
      <c r="BG39" s="133"/>
      <c r="BH39" s="133"/>
      <c r="BI39" s="189"/>
      <c r="BJ39" s="189"/>
      <c r="BK39" s="189"/>
      <c r="BL39" s="189"/>
      <c r="BM39" s="189"/>
      <c r="BN39" s="189"/>
      <c r="BO39" s="189"/>
      <c r="BP39" s="189"/>
      <c r="BQ39" s="189"/>
      <c r="BR39" s="189"/>
      <c r="BS39" s="189"/>
      <c r="BT39" s="189"/>
      <c r="BU39" s="189"/>
      <c r="BV39" s="189"/>
      <c r="BW39" s="189"/>
      <c r="BX39" s="189"/>
      <c r="BY39" s="189"/>
      <c r="BZ39" s="189"/>
      <c r="CA39" s="189"/>
    </row>
    <row r="40" spans="1:79" s="138" customFormat="1" ht="15" customHeight="1" x14ac:dyDescent="0.25">
      <c r="A40" s="286" t="s">
        <v>297</v>
      </c>
      <c r="B40" s="286"/>
      <c r="C40" s="187" t="s">
        <v>575</v>
      </c>
      <c r="D40" s="25" t="s">
        <v>304</v>
      </c>
      <c r="E40" s="99">
        <f>IF(VLOOKUP(E4,Profiles!$A$3:$AH$27,6,FALSE)="Yes",VLOOKUP(E4,Profiles!$A$3:$AH$27,7,FALSE),"-")</f>
        <v>500</v>
      </c>
      <c r="G40" s="150"/>
      <c r="H40" s="160">
        <f t="shared" si="1"/>
        <v>500</v>
      </c>
      <c r="I40" s="153" t="s">
        <v>484</v>
      </c>
      <c r="J40" s="156" t="s">
        <v>483</v>
      </c>
      <c r="K40" s="133"/>
    </row>
    <row r="41" spans="1:79" s="109" customFormat="1" ht="15" customHeight="1" x14ac:dyDescent="0.25">
      <c r="A41" s="276" t="s">
        <v>298</v>
      </c>
      <c r="B41" s="277"/>
      <c r="C41" s="195" t="s">
        <v>217</v>
      </c>
      <c r="D41" s="41" t="s">
        <v>300</v>
      </c>
      <c r="E41" s="135" t="str">
        <f>IF(VLOOKUP(E4,Profiles!$A$3:$AJ$27,21,FALSE)="Yes",VLOOKUP(E4,Profiles!$A$3:$AH$27,22,FALSE),"-")</f>
        <v>-</v>
      </c>
      <c r="G41" s="150"/>
      <c r="H41" s="161" t="str">
        <f t="shared" si="1"/>
        <v>-</v>
      </c>
      <c r="I41" s="116" t="s">
        <v>300</v>
      </c>
      <c r="J41" s="153" t="s">
        <v>508</v>
      </c>
      <c r="K41" s="133"/>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1"/>
      <c r="BG41" s="111"/>
      <c r="BH41" s="111"/>
      <c r="BI41" s="110"/>
      <c r="BJ41" s="110"/>
      <c r="BK41" s="110"/>
      <c r="BL41" s="110"/>
      <c r="BM41" s="110"/>
      <c r="BN41" s="110"/>
      <c r="BO41" s="110"/>
      <c r="BP41" s="110"/>
      <c r="BQ41" s="110"/>
      <c r="BR41" s="110"/>
      <c r="BS41" s="110"/>
      <c r="BT41" s="110"/>
      <c r="BU41" s="110"/>
      <c r="BV41" s="110"/>
      <c r="BW41" s="110"/>
      <c r="BX41" s="110"/>
      <c r="BY41" s="110"/>
      <c r="BZ41" s="110"/>
      <c r="CA41" s="110"/>
    </row>
    <row r="42" spans="1:79" s="124" customFormat="1" x14ac:dyDescent="0.25">
      <c r="A42" s="278"/>
      <c r="B42" s="279"/>
      <c r="C42" s="41" t="s">
        <v>275</v>
      </c>
      <c r="D42" s="41" t="s">
        <v>275</v>
      </c>
      <c r="E42" s="114" t="str">
        <f>IF(VLOOKUP(E4,Profiles!$A$3:$AJ$27,21,FALSE)="Yes",VLOOKUP(E4,Profiles!$A$3:$AH$27,34,FALSE),"-")</f>
        <v>-</v>
      </c>
      <c r="G42" s="150"/>
      <c r="H42" s="161" t="str">
        <f t="shared" si="1"/>
        <v>-</v>
      </c>
      <c r="I42" s="124" t="s">
        <v>589</v>
      </c>
      <c r="J42" s="153"/>
      <c r="K42" s="133"/>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6"/>
      <c r="BG42" s="126"/>
      <c r="BH42" s="126"/>
      <c r="BI42" s="125"/>
      <c r="BJ42" s="125"/>
      <c r="BK42" s="125"/>
      <c r="BL42" s="125"/>
      <c r="BM42" s="125"/>
      <c r="BN42" s="125"/>
      <c r="BO42" s="125"/>
      <c r="BP42" s="125"/>
      <c r="BQ42" s="125"/>
      <c r="BR42" s="125"/>
      <c r="BS42" s="125"/>
      <c r="BT42" s="125"/>
      <c r="BU42" s="125"/>
      <c r="BV42" s="125"/>
      <c r="BW42" s="125"/>
      <c r="BX42" s="125"/>
      <c r="BY42" s="125"/>
      <c r="BZ42" s="125"/>
      <c r="CA42" s="125"/>
    </row>
    <row r="43" spans="1:79" s="116" customFormat="1" ht="15" customHeight="1" x14ac:dyDescent="0.25">
      <c r="A43" s="261" t="s">
        <v>317</v>
      </c>
      <c r="B43" s="262"/>
      <c r="C43" s="270" t="s">
        <v>279</v>
      </c>
      <c r="D43" s="41" t="s">
        <v>336</v>
      </c>
      <c r="E43" s="102" t="str">
        <f>IF(VLOOKUP(E4,Profiles!$A$3:$AJ$27,11,FALSE)="Yes",VLOOKUP(E4,Profiles!$A$3:$AJ$27,12,FALSE),"-")</f>
        <v>E-CID</v>
      </c>
      <c r="G43" s="150"/>
      <c r="H43" s="161" t="str">
        <f t="shared" si="1"/>
        <v>E-CID</v>
      </c>
      <c r="I43" s="116" t="s">
        <v>509</v>
      </c>
      <c r="J43" s="153"/>
      <c r="K43" s="133"/>
      <c r="S43" s="117"/>
      <c r="T43" s="117"/>
      <c r="U43" s="117"/>
      <c r="V43" s="117"/>
      <c r="W43" s="117"/>
      <c r="X43" s="117"/>
      <c r="Y43" s="117"/>
      <c r="Z43" s="117"/>
      <c r="AA43" s="117"/>
      <c r="AB43" s="117"/>
      <c r="AC43" s="117"/>
      <c r="AD43" s="117"/>
      <c r="AE43" s="117"/>
      <c r="AF43" s="117"/>
      <c r="AG43" s="117"/>
      <c r="AH43" s="117"/>
      <c r="AI43" s="117"/>
      <c r="AJ43" s="117"/>
      <c r="AK43" s="117"/>
      <c r="AL43" s="117"/>
      <c r="AM43" s="117"/>
      <c r="AN43" s="117"/>
      <c r="AO43" s="117"/>
      <c r="AP43" s="117"/>
      <c r="AQ43" s="117"/>
      <c r="AR43" s="117"/>
      <c r="AS43" s="117"/>
      <c r="AT43" s="117"/>
      <c r="AU43" s="117"/>
      <c r="AV43" s="117"/>
      <c r="AW43" s="117"/>
      <c r="AX43" s="117"/>
      <c r="AY43" s="117"/>
      <c r="AZ43" s="117"/>
      <c r="BA43" s="117"/>
      <c r="BB43" s="117"/>
      <c r="BC43" s="117"/>
      <c r="BD43" s="117"/>
      <c r="BE43" s="117"/>
      <c r="BF43" s="118"/>
      <c r="BG43" s="118"/>
      <c r="BH43" s="118"/>
      <c r="BI43" s="117"/>
      <c r="BJ43" s="117"/>
      <c r="BK43" s="117"/>
      <c r="BL43" s="117"/>
      <c r="BM43" s="117"/>
      <c r="BN43" s="117"/>
      <c r="BO43" s="117"/>
      <c r="BP43" s="117"/>
      <c r="BQ43" s="117"/>
      <c r="BR43" s="117"/>
      <c r="BS43" s="117"/>
      <c r="BT43" s="117"/>
      <c r="BU43" s="117"/>
      <c r="BV43" s="117"/>
      <c r="BW43" s="117"/>
      <c r="BX43" s="117"/>
      <c r="BY43" s="117"/>
      <c r="BZ43" s="117"/>
      <c r="CA43" s="117"/>
    </row>
    <row r="44" spans="1:79" s="124" customFormat="1" ht="15" customHeight="1" x14ac:dyDescent="0.25">
      <c r="A44" s="282"/>
      <c r="B44" s="283"/>
      <c r="C44" s="287"/>
      <c r="D44" s="41" t="s">
        <v>338</v>
      </c>
      <c r="E44" s="134">
        <f>IF(VLOOKUP(E4,Profiles!$A$3:$AJ$27,11,FALSE)="Yes",VLOOKUP(E4,Profiles!$A$3:$AJ$27,13,FALSE),"-")</f>
        <v>1</v>
      </c>
      <c r="G44" s="150"/>
      <c r="H44" s="165">
        <f t="shared" si="1"/>
        <v>1</v>
      </c>
      <c r="I44" s="124" t="s">
        <v>510</v>
      </c>
      <c r="J44" s="153"/>
      <c r="K44" s="133"/>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6"/>
      <c r="BG44" s="126"/>
      <c r="BH44" s="126"/>
      <c r="BI44" s="125"/>
      <c r="BJ44" s="125"/>
      <c r="BK44" s="125"/>
      <c r="BL44" s="125"/>
      <c r="BM44" s="125"/>
      <c r="BN44" s="125"/>
      <c r="BO44" s="125"/>
      <c r="BP44" s="125"/>
      <c r="BQ44" s="125"/>
      <c r="BR44" s="125"/>
      <c r="BS44" s="125"/>
      <c r="BT44" s="125"/>
      <c r="BU44" s="125"/>
      <c r="BV44" s="125"/>
      <c r="BW44" s="125"/>
      <c r="BX44" s="125"/>
      <c r="BY44" s="125"/>
      <c r="BZ44" s="125"/>
      <c r="CA44" s="125"/>
    </row>
    <row r="45" spans="1:79" s="116" customFormat="1" x14ac:dyDescent="0.25">
      <c r="A45" s="284"/>
      <c r="B45" s="285"/>
      <c r="C45" s="271"/>
      <c r="D45" s="41" t="s">
        <v>337</v>
      </c>
      <c r="E45" s="114">
        <f>IF(VLOOKUP(E4,Profiles!$A$3:$AJ$27,11,FALSE)="Yes",VLOOKUP(E4,Profiles!$A$3:$AJ$27,14,FALSE),"-")</f>
        <v>100</v>
      </c>
      <c r="G45" s="150"/>
      <c r="H45" s="162">
        <f t="shared" si="1"/>
        <v>100</v>
      </c>
      <c r="I45" s="137" t="s">
        <v>511</v>
      </c>
      <c r="J45" s="153"/>
      <c r="K45" s="133"/>
      <c r="S45" s="117"/>
      <c r="T45" s="117"/>
      <c r="U45" s="117"/>
      <c r="V45" s="117"/>
      <c r="W45" s="117"/>
      <c r="X45" s="117"/>
      <c r="Y45" s="117"/>
      <c r="Z45" s="117"/>
      <c r="AA45" s="117"/>
      <c r="AB45" s="117"/>
      <c r="AC45" s="117"/>
      <c r="AD45" s="117"/>
      <c r="AE45" s="117"/>
      <c r="AF45" s="117"/>
      <c r="AG45" s="117"/>
      <c r="AH45" s="117"/>
      <c r="AI45" s="117"/>
      <c r="AJ45" s="117"/>
      <c r="AK45" s="117"/>
      <c r="AL45" s="117"/>
      <c r="AM45" s="117"/>
      <c r="AN45" s="117"/>
      <c r="AO45" s="117"/>
      <c r="AP45" s="117"/>
      <c r="AQ45" s="117"/>
      <c r="AR45" s="117"/>
      <c r="AS45" s="117"/>
      <c r="AT45" s="117"/>
      <c r="AU45" s="117"/>
      <c r="AV45" s="117"/>
      <c r="AW45" s="117"/>
      <c r="AX45" s="117"/>
      <c r="AY45" s="117"/>
      <c r="AZ45" s="117"/>
      <c r="BA45" s="117"/>
      <c r="BB45" s="117"/>
      <c r="BC45" s="117"/>
      <c r="BD45" s="117"/>
      <c r="BE45" s="117"/>
      <c r="BF45" s="118"/>
      <c r="BG45" s="118"/>
      <c r="BH45" s="118"/>
      <c r="BI45" s="117"/>
      <c r="BJ45" s="117"/>
      <c r="BK45" s="117"/>
      <c r="BL45" s="117"/>
      <c r="BM45" s="117"/>
      <c r="BN45" s="117"/>
      <c r="BO45" s="117"/>
      <c r="BP45" s="117"/>
      <c r="BQ45" s="117"/>
      <c r="BR45" s="117"/>
      <c r="BS45" s="117"/>
      <c r="BT45" s="117"/>
      <c r="BU45" s="117"/>
      <c r="BV45" s="117"/>
      <c r="BW45" s="117"/>
      <c r="BX45" s="117"/>
      <c r="BY45" s="117"/>
      <c r="BZ45" s="117"/>
      <c r="CA45" s="117"/>
    </row>
    <row r="46" spans="1:79" s="124" customFormat="1" ht="15" customHeight="1" x14ac:dyDescent="0.25">
      <c r="A46" s="261" t="s">
        <v>329</v>
      </c>
      <c r="B46" s="262"/>
      <c r="C46" s="270" t="s">
        <v>306</v>
      </c>
      <c r="D46" s="41" t="s">
        <v>332</v>
      </c>
      <c r="E46" s="114">
        <f>IF(VLOOKUP(E4,Profiles!$A$3:$AJ$28,27,FALSE)="Yes",VLOOKUP(E4,Profiles!$A$3:$AH$28,28,FALSE),"-")</f>
        <v>60</v>
      </c>
      <c r="G46" s="150"/>
      <c r="H46" s="161">
        <f t="shared" si="1"/>
        <v>60</v>
      </c>
      <c r="I46" s="124" t="s">
        <v>506</v>
      </c>
      <c r="J46" s="153"/>
      <c r="K46" s="133"/>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6"/>
      <c r="BG46" s="126"/>
      <c r="BH46" s="126"/>
      <c r="BI46" s="125"/>
      <c r="BJ46" s="125"/>
      <c r="BK46" s="125"/>
      <c r="BL46" s="125"/>
      <c r="BM46" s="125"/>
      <c r="BN46" s="125"/>
      <c r="BO46" s="125"/>
      <c r="BP46" s="125"/>
      <c r="BQ46" s="125"/>
      <c r="BR46" s="125"/>
      <c r="BS46" s="125"/>
      <c r="BT46" s="125"/>
      <c r="BU46" s="125"/>
      <c r="BV46" s="125"/>
      <c r="BW46" s="125"/>
      <c r="BX46" s="125"/>
      <c r="BY46" s="125"/>
      <c r="BZ46" s="125"/>
      <c r="CA46" s="125"/>
    </row>
    <row r="47" spans="1:79" s="86" customFormat="1" ht="30" x14ac:dyDescent="0.25">
      <c r="A47" s="284"/>
      <c r="B47" s="285"/>
      <c r="C47" s="271"/>
      <c r="D47" s="41" t="s">
        <v>333</v>
      </c>
      <c r="E47" s="114">
        <f>IF(VLOOKUP(E4,Profiles!$A$3:$AJ$28,27,FALSE)="Yes",VLOOKUP(E4,Profiles!$A$3:$AJ$27,29,FALSE),"-")</f>
        <v>0.2</v>
      </c>
      <c r="F47" s="109"/>
      <c r="G47" s="150"/>
      <c r="H47" s="161">
        <f t="shared" si="1"/>
        <v>0.2</v>
      </c>
      <c r="I47" s="154" t="s">
        <v>525</v>
      </c>
      <c r="J47" s="155" t="s">
        <v>502</v>
      </c>
      <c r="K47" s="133"/>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45"/>
      <c r="BG47" s="45"/>
      <c r="BH47" s="45"/>
      <c r="BI47" s="1"/>
      <c r="BJ47" s="1"/>
      <c r="BK47" s="1"/>
      <c r="BL47" s="1"/>
      <c r="BM47" s="1"/>
      <c r="BN47" s="1"/>
      <c r="BO47" s="1"/>
      <c r="BP47" s="1"/>
      <c r="BQ47" s="1"/>
      <c r="BR47" s="1"/>
      <c r="BS47" s="1"/>
      <c r="BT47" s="1"/>
      <c r="BU47" s="1"/>
      <c r="BV47" s="1"/>
      <c r="BW47" s="1"/>
      <c r="BX47" s="1"/>
      <c r="BY47" s="1"/>
      <c r="BZ47" s="1"/>
      <c r="CA47" s="1"/>
    </row>
    <row r="48" spans="1:79" s="109" customFormat="1" x14ac:dyDescent="0.25">
      <c r="A48" s="254" t="s">
        <v>473</v>
      </c>
      <c r="B48" s="254"/>
      <c r="C48" s="136" t="s">
        <v>278</v>
      </c>
      <c r="D48" s="123" t="s">
        <v>474</v>
      </c>
      <c r="E48" s="135" t="str">
        <f>IF(VLOOKUP(E4,Profiles!$A$3:$AJ$27,15,FALSE)="Yes",VLOOKUP(E4,Profiles!$A$3:$AJ$27,16,FALSE),"-")</f>
        <v>-</v>
      </c>
      <c r="G48" s="150"/>
      <c r="H48" s="161" t="str">
        <f t="shared" si="1"/>
        <v>-</v>
      </c>
      <c r="I48" s="137" t="s">
        <v>503</v>
      </c>
      <c r="J48" s="153"/>
      <c r="K48" s="133"/>
      <c r="S48" s="110"/>
      <c r="T48" s="110"/>
      <c r="U48" s="110"/>
      <c r="V48" s="110"/>
      <c r="W48" s="110"/>
      <c r="X48" s="110"/>
      <c r="Y48" s="110"/>
      <c r="Z48" s="110"/>
      <c r="AA48" s="110"/>
      <c r="AB48" s="110"/>
      <c r="AC48" s="110"/>
      <c r="AD48" s="110"/>
      <c r="AE48" s="110"/>
      <c r="AF48" s="110"/>
      <c r="AG48" s="110"/>
      <c r="AH48" s="110"/>
      <c r="AI48" s="110"/>
      <c r="AJ48" s="110"/>
      <c r="AK48" s="110"/>
      <c r="AL48" s="110"/>
      <c r="AM48" s="110"/>
      <c r="AN48" s="110"/>
      <c r="AO48" s="110"/>
      <c r="AP48" s="110"/>
      <c r="AQ48" s="110"/>
      <c r="AR48" s="110"/>
      <c r="AS48" s="110"/>
      <c r="AT48" s="110"/>
      <c r="AU48" s="110"/>
      <c r="AV48" s="110"/>
      <c r="AW48" s="110"/>
      <c r="AX48" s="110"/>
      <c r="AY48" s="110"/>
      <c r="AZ48" s="110"/>
      <c r="BA48" s="110"/>
      <c r="BB48" s="110"/>
      <c r="BC48" s="110"/>
      <c r="BD48" s="110"/>
      <c r="BE48" s="110"/>
      <c r="BF48" s="111"/>
      <c r="BG48" s="111"/>
      <c r="BH48" s="111"/>
      <c r="BI48" s="110"/>
      <c r="BJ48" s="110"/>
      <c r="BK48" s="110"/>
      <c r="BL48" s="110"/>
      <c r="BM48" s="110"/>
      <c r="BN48" s="110"/>
      <c r="BO48" s="110"/>
      <c r="BP48" s="110"/>
      <c r="BQ48" s="110"/>
      <c r="BR48" s="110"/>
      <c r="BS48" s="110"/>
      <c r="BT48" s="110"/>
      <c r="BU48" s="110"/>
      <c r="BV48" s="110"/>
      <c r="BW48" s="110"/>
      <c r="BX48" s="110"/>
      <c r="BY48" s="110"/>
      <c r="BZ48" s="110"/>
      <c r="CA48" s="110"/>
    </row>
    <row r="49" spans="1:79" s="124" customFormat="1" ht="45" x14ac:dyDescent="0.25">
      <c r="A49" s="254"/>
      <c r="B49" s="254"/>
      <c r="C49" s="136" t="s">
        <v>475</v>
      </c>
      <c r="D49" s="123" t="s">
        <v>475</v>
      </c>
      <c r="E49" s="135" t="str">
        <f>IF(VLOOKUP(E4,Profiles!$A$3:$AJ$27,15,FALSE)="Yes",VLOOKUP(E4,Profiles!$A$3:$AJ$27,18,FALSE),"-")</f>
        <v>-</v>
      </c>
      <c r="G49" s="150"/>
      <c r="H49" s="161" t="str">
        <f t="shared" si="1"/>
        <v>-</v>
      </c>
      <c r="I49" s="39" t="s">
        <v>504</v>
      </c>
      <c r="J49" s="155" t="s">
        <v>505</v>
      </c>
      <c r="K49" s="133"/>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6"/>
      <c r="BG49" s="126"/>
      <c r="BH49" s="126"/>
      <c r="BI49" s="125"/>
      <c r="BJ49" s="125"/>
      <c r="BK49" s="125"/>
      <c r="BL49" s="125"/>
      <c r="BM49" s="125"/>
      <c r="BN49" s="125"/>
      <c r="BO49" s="125"/>
      <c r="BP49" s="125"/>
      <c r="BQ49" s="125"/>
      <c r="BR49" s="125"/>
      <c r="BS49" s="125"/>
      <c r="BT49" s="125"/>
      <c r="BU49" s="125"/>
      <c r="BV49" s="125"/>
      <c r="BW49" s="125"/>
      <c r="BX49" s="125"/>
      <c r="BY49" s="125"/>
      <c r="BZ49" s="125"/>
      <c r="CA49" s="125"/>
    </row>
    <row r="50" spans="1:79" s="147" customFormat="1" x14ac:dyDescent="0.25">
      <c r="A50" s="261" t="s">
        <v>532</v>
      </c>
      <c r="B50" s="262"/>
      <c r="C50" s="158"/>
      <c r="D50" s="171" t="s">
        <v>535</v>
      </c>
      <c r="E50" s="135" t="str">
        <f>VLOOKUP(E4,Profiles!$A$3:$AO$27,41,FALSE)</f>
        <v>Yes</v>
      </c>
      <c r="F50" s="173"/>
      <c r="G50" s="176"/>
      <c r="H50" s="161" t="str">
        <f t="shared" ref="H50:H53" si="4">IF(G50="",E50,G50)</f>
        <v>Yes</v>
      </c>
      <c r="I50" s="177" t="s">
        <v>548</v>
      </c>
      <c r="J50" s="174"/>
      <c r="K50" s="133"/>
    </row>
    <row r="51" spans="1:79" s="147" customFormat="1" ht="15" customHeight="1" x14ac:dyDescent="0.25">
      <c r="A51" s="263" t="s">
        <v>541</v>
      </c>
      <c r="B51" s="264"/>
      <c r="C51" s="182" t="s">
        <v>531</v>
      </c>
      <c r="D51" s="146" t="s">
        <v>531</v>
      </c>
      <c r="E51" s="135" t="s">
        <v>538</v>
      </c>
      <c r="F51" s="179"/>
      <c r="G51" s="152"/>
      <c r="H51" s="161" t="str">
        <f t="shared" si="4"/>
        <v>n/a</v>
      </c>
      <c r="I51" s="186" t="s">
        <v>547</v>
      </c>
      <c r="K51" s="133"/>
    </row>
    <row r="52" spans="1:79" s="131" customFormat="1" ht="15" customHeight="1" x14ac:dyDescent="0.25">
      <c r="A52" s="265"/>
      <c r="B52" s="266"/>
      <c r="C52" s="182" t="s">
        <v>540</v>
      </c>
      <c r="D52" s="146" t="s">
        <v>540</v>
      </c>
      <c r="E52" s="135" t="s">
        <v>538</v>
      </c>
      <c r="F52" s="179"/>
      <c r="G52" s="152"/>
      <c r="H52" s="161" t="str">
        <f t="shared" si="4"/>
        <v>n/a</v>
      </c>
      <c r="I52" s="186" t="s">
        <v>546</v>
      </c>
      <c r="J52" s="137"/>
      <c r="K52" s="133"/>
    </row>
    <row r="53" spans="1:79" s="131" customFormat="1" ht="28.5" x14ac:dyDescent="0.25">
      <c r="A53" s="265"/>
      <c r="B53" s="266"/>
      <c r="C53" s="182" t="s">
        <v>570</v>
      </c>
      <c r="D53" s="146" t="s">
        <v>545</v>
      </c>
      <c r="E53" s="135" t="str">
        <f>VLOOKUP(E4,Profiles!$A$3:$AO$27,39,FALSE)</f>
        <v>Yes</v>
      </c>
      <c r="F53" s="174"/>
      <c r="G53" s="150"/>
      <c r="H53" s="161" t="str">
        <f t="shared" si="4"/>
        <v>Yes</v>
      </c>
      <c r="I53" s="180" t="s">
        <v>543</v>
      </c>
      <c r="J53" s="39" t="s">
        <v>544</v>
      </c>
      <c r="K53" s="133"/>
    </row>
    <row r="54" spans="1:79" s="131" customFormat="1" ht="30" x14ac:dyDescent="0.25">
      <c r="A54" s="267"/>
      <c r="B54" s="268"/>
      <c r="C54" s="41" t="s">
        <v>569</v>
      </c>
      <c r="D54" s="41" t="s">
        <v>569</v>
      </c>
      <c r="E54" s="135" t="str">
        <f>VLOOKUP(E4,Profiles!$A$3:$AO$27,40,FALSE)</f>
        <v>Passive</v>
      </c>
      <c r="F54" s="174"/>
      <c r="G54" s="150"/>
      <c r="H54" s="161" t="str">
        <f t="shared" ref="H54" si="5">IF(G54="",E54,G54)</f>
        <v>Passive</v>
      </c>
      <c r="I54" s="178" t="s">
        <v>542</v>
      </c>
      <c r="J54" s="178" t="s">
        <v>537</v>
      </c>
      <c r="K54" s="133"/>
    </row>
    <row r="55" spans="1:79" s="131" customFormat="1" ht="30" x14ac:dyDescent="0.25">
      <c r="A55" s="269" t="s">
        <v>530</v>
      </c>
      <c r="B55" s="269"/>
      <c r="C55" s="166" t="s">
        <v>568</v>
      </c>
      <c r="D55" s="41" t="s">
        <v>549</v>
      </c>
      <c r="E55" s="175"/>
      <c r="F55" s="173"/>
      <c r="G55" s="172"/>
      <c r="H55" s="170" t="s">
        <v>274</v>
      </c>
      <c r="I55" s="154" t="s">
        <v>590</v>
      </c>
      <c r="J55" s="181"/>
      <c r="K55" s="133"/>
    </row>
    <row r="56" spans="1:79" s="131" customFormat="1" x14ac:dyDescent="0.25">
      <c r="B56" s="49"/>
      <c r="C56" s="49"/>
      <c r="J56" s="137"/>
      <c r="K56" s="133"/>
    </row>
    <row r="57" spans="1:79" s="131" customFormat="1" x14ac:dyDescent="0.25">
      <c r="B57" s="49"/>
      <c r="C57" s="49"/>
      <c r="J57" s="137"/>
      <c r="K57" s="133"/>
    </row>
    <row r="58" spans="1:79" s="131" customFormat="1" x14ac:dyDescent="0.25">
      <c r="C58" s="137"/>
      <c r="J58" s="137"/>
      <c r="K58" s="133"/>
    </row>
    <row r="59" spans="1:79" s="131" customFormat="1" x14ac:dyDescent="0.25">
      <c r="C59" s="137"/>
      <c r="J59" s="137"/>
      <c r="K59" s="133"/>
    </row>
    <row r="60" spans="1:79" s="131" customFormat="1" x14ac:dyDescent="0.25">
      <c r="C60" s="137"/>
      <c r="J60" s="137"/>
      <c r="K60" s="133"/>
    </row>
    <row r="61" spans="1:79" s="131" customFormat="1" x14ac:dyDescent="0.25">
      <c r="C61" s="137"/>
      <c r="J61" s="137"/>
      <c r="K61" s="133"/>
    </row>
    <row r="62" spans="1:79" s="131" customFormat="1" x14ac:dyDescent="0.25">
      <c r="C62" s="137"/>
      <c r="J62" s="137"/>
      <c r="K62" s="133"/>
    </row>
    <row r="63" spans="1:79" s="131" customFormat="1" x14ac:dyDescent="0.25">
      <c r="C63" s="137"/>
      <c r="J63" s="137"/>
      <c r="K63" s="133"/>
    </row>
    <row r="64" spans="1:79" s="131" customFormat="1" x14ac:dyDescent="0.25">
      <c r="C64" s="137"/>
      <c r="J64" s="137"/>
      <c r="K64" s="133"/>
    </row>
    <row r="65" spans="1:43" s="131" customFormat="1" x14ac:dyDescent="0.25">
      <c r="C65" s="137"/>
      <c r="J65" s="137"/>
      <c r="K65" s="133"/>
    </row>
    <row r="66" spans="1:43" s="131" customFormat="1" x14ac:dyDescent="0.25">
      <c r="C66" s="137"/>
      <c r="J66" s="137"/>
      <c r="K66" s="133"/>
    </row>
    <row r="67" spans="1:43" s="131" customFormat="1" x14ac:dyDescent="0.25">
      <c r="C67" s="137"/>
      <c r="H67" s="256"/>
      <c r="I67" s="256"/>
      <c r="J67" s="137"/>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131" customFormat="1" x14ac:dyDescent="0.25">
      <c r="A68" s="49"/>
      <c r="B68" s="49"/>
      <c r="C68" s="49"/>
      <c r="D68" s="49"/>
      <c r="E68" s="49"/>
      <c r="F68" s="49"/>
      <c r="G68" s="49"/>
      <c r="H68" s="49"/>
      <c r="I68" s="49"/>
      <c r="J68" s="49"/>
      <c r="K68" s="133"/>
      <c r="L68" s="49"/>
      <c r="M68" s="49"/>
      <c r="N68" s="49"/>
      <c r="O68" s="49"/>
      <c r="P68" s="49"/>
    </row>
    <row r="69" spans="1:43" s="131" customFormat="1" x14ac:dyDescent="0.25">
      <c r="A69" s="49"/>
      <c r="B69" s="49"/>
      <c r="C69" s="49"/>
      <c r="D69" s="49"/>
      <c r="E69" s="49"/>
      <c r="F69" s="49"/>
      <c r="G69" s="49"/>
      <c r="H69" s="49"/>
      <c r="I69" s="49"/>
      <c r="J69" s="49"/>
      <c r="K69" s="133"/>
      <c r="L69" s="49"/>
      <c r="M69" s="49"/>
      <c r="N69" s="49"/>
      <c r="O69" s="49"/>
      <c r="P69" s="49"/>
      <c r="Q69" s="256"/>
      <c r="R69" s="256"/>
      <c r="S69" s="256"/>
    </row>
    <row r="70" spans="1:43" s="131" customFormat="1" x14ac:dyDescent="0.25">
      <c r="A70" s="49"/>
      <c r="B70" s="49"/>
      <c r="C70" s="49"/>
      <c r="D70" s="49"/>
      <c r="E70" s="49"/>
      <c r="F70" s="49"/>
      <c r="G70" s="49"/>
      <c r="H70" s="49"/>
      <c r="I70" s="49"/>
      <c r="J70" s="49"/>
      <c r="K70" s="133"/>
      <c r="L70" s="49"/>
      <c r="M70" s="49"/>
      <c r="N70" s="49"/>
      <c r="O70" s="49"/>
      <c r="P70" s="49"/>
      <c r="Q70" s="256"/>
      <c r="R70" s="256"/>
      <c r="S70" s="256"/>
    </row>
    <row r="71" spans="1:43" s="131" customFormat="1" x14ac:dyDescent="0.25">
      <c r="A71" s="49"/>
      <c r="B71" s="49"/>
      <c r="C71" s="49"/>
      <c r="D71" s="49"/>
      <c r="E71" s="49"/>
      <c r="F71" s="49"/>
      <c r="G71" s="49"/>
      <c r="H71" s="49"/>
      <c r="I71" s="49"/>
      <c r="J71" s="49"/>
      <c r="K71" s="133"/>
      <c r="L71" s="49"/>
      <c r="M71" s="49"/>
      <c r="N71" s="49"/>
      <c r="O71" s="49"/>
      <c r="P71" s="49"/>
    </row>
    <row r="72" spans="1:43" s="131" customFormat="1" x14ac:dyDescent="0.25">
      <c r="A72" s="49"/>
      <c r="B72" s="49"/>
      <c r="C72" s="49"/>
      <c r="D72" s="49"/>
      <c r="E72" s="49"/>
      <c r="F72" s="49"/>
      <c r="G72" s="49"/>
      <c r="H72" s="49"/>
      <c r="I72" s="49"/>
      <c r="J72" s="49"/>
      <c r="K72" s="133"/>
      <c r="L72" s="49"/>
      <c r="M72" s="49"/>
      <c r="N72" s="49"/>
      <c r="O72" s="49"/>
      <c r="P72" s="49"/>
    </row>
    <row r="73" spans="1:43" s="131" customFormat="1" x14ac:dyDescent="0.25">
      <c r="A73" s="49"/>
      <c r="B73" s="49"/>
      <c r="C73" s="49"/>
      <c r="D73" s="49"/>
      <c r="E73" s="49"/>
      <c r="F73" s="49"/>
      <c r="G73" s="49"/>
      <c r="H73" s="49"/>
      <c r="I73" s="49"/>
      <c r="J73" s="49"/>
      <c r="K73" s="133"/>
      <c r="L73" s="49"/>
      <c r="M73" s="49"/>
      <c r="N73" s="49"/>
      <c r="O73" s="49"/>
      <c r="P73" s="49"/>
      <c r="R73" s="256"/>
    </row>
    <row r="74" spans="1:43" s="131" customFormat="1" x14ac:dyDescent="0.25">
      <c r="A74" s="49"/>
      <c r="B74" s="49"/>
      <c r="C74" s="49"/>
      <c r="D74" s="49"/>
      <c r="E74" s="49"/>
      <c r="F74" s="49"/>
      <c r="G74" s="49"/>
      <c r="H74" s="49"/>
      <c r="I74" s="49"/>
      <c r="J74" s="49"/>
      <c r="K74" s="133"/>
      <c r="L74" s="49"/>
      <c r="M74" s="49"/>
      <c r="N74" s="49"/>
      <c r="O74" s="49"/>
      <c r="P74" s="49"/>
      <c r="R74" s="256"/>
    </row>
    <row r="75" spans="1:43" s="131" customFormat="1" x14ac:dyDescent="0.25">
      <c r="A75" s="49"/>
      <c r="B75" s="49"/>
      <c r="C75" s="49"/>
      <c r="D75" s="49"/>
      <c r="E75" s="49"/>
      <c r="F75" s="49"/>
      <c r="G75" s="49"/>
      <c r="H75" s="49"/>
      <c r="I75" s="49"/>
      <c r="J75" s="49"/>
      <c r="K75" s="133"/>
      <c r="L75" s="49"/>
      <c r="M75" s="49"/>
      <c r="N75" s="49"/>
      <c r="O75" s="49"/>
      <c r="P75" s="49"/>
    </row>
    <row r="76" spans="1:43" s="131" customFormat="1" x14ac:dyDescent="0.25">
      <c r="A76" s="49"/>
      <c r="B76" s="49"/>
      <c r="C76" s="49"/>
      <c r="D76" s="49"/>
      <c r="E76" s="49"/>
      <c r="F76" s="49"/>
      <c r="G76" s="49"/>
      <c r="H76" s="49"/>
      <c r="I76" s="49"/>
      <c r="J76" s="49"/>
      <c r="K76" s="133"/>
      <c r="L76" s="49"/>
      <c r="M76" s="49"/>
      <c r="N76" s="49"/>
      <c r="O76" s="49"/>
      <c r="P76" s="49"/>
    </row>
    <row r="77" spans="1:43" s="131" customFormat="1" x14ac:dyDescent="0.25">
      <c r="A77" s="49"/>
      <c r="B77" s="49"/>
      <c r="C77" s="49"/>
      <c r="D77" s="49"/>
      <c r="E77" s="49"/>
      <c r="F77" s="49"/>
      <c r="G77" s="49"/>
      <c r="H77" s="49"/>
      <c r="I77" s="49"/>
      <c r="J77" s="49"/>
      <c r="K77" s="133"/>
      <c r="L77" s="49"/>
      <c r="M77" s="49"/>
      <c r="N77" s="49"/>
      <c r="O77" s="49"/>
      <c r="P77" s="49"/>
    </row>
    <row r="78" spans="1:43" s="131" customFormat="1" x14ac:dyDescent="0.25">
      <c r="C78" s="137"/>
      <c r="J78" s="137"/>
      <c r="K78" s="133"/>
    </row>
    <row r="79" spans="1:43" s="131" customFormat="1" x14ac:dyDescent="0.25">
      <c r="C79" s="137"/>
      <c r="J79" s="137"/>
      <c r="K79" s="133"/>
    </row>
    <row r="80" spans="1:43" s="131" customFormat="1" x14ac:dyDescent="0.25">
      <c r="C80" s="137"/>
      <c r="J80" s="137"/>
      <c r="K80" s="133"/>
    </row>
    <row r="81" spans="3:68" s="131" customFormat="1" x14ac:dyDescent="0.25">
      <c r="C81" s="137"/>
      <c r="J81" s="137"/>
      <c r="K81" s="133"/>
    </row>
    <row r="82" spans="3:68" s="131" customFormat="1" x14ac:dyDescent="0.25">
      <c r="C82" s="137"/>
      <c r="J82" s="137"/>
      <c r="K82" s="133"/>
    </row>
    <row r="83" spans="3:68" s="131" customFormat="1" x14ac:dyDescent="0.25">
      <c r="C83" s="137"/>
      <c r="J83" s="137"/>
      <c r="K83" s="133"/>
    </row>
    <row r="84" spans="3:68" s="131" customFormat="1" x14ac:dyDescent="0.25">
      <c r="C84" s="137"/>
      <c r="J84" s="137"/>
      <c r="K84" s="133"/>
    </row>
    <row r="85" spans="3:68" s="131" customFormat="1" x14ac:dyDescent="0.25">
      <c r="C85" s="137"/>
      <c r="J85" s="137"/>
      <c r="K85" s="133"/>
    </row>
    <row r="86" spans="3:68" s="131" customFormat="1" x14ac:dyDescent="0.25">
      <c r="C86" s="137"/>
      <c r="J86" s="137"/>
      <c r="K86" s="133"/>
    </row>
    <row r="87" spans="3:68" s="131" customFormat="1" x14ac:dyDescent="0.25">
      <c r="C87" s="137"/>
      <c r="J87" s="137"/>
      <c r="K87" s="133"/>
    </row>
    <row r="88" spans="3:68" s="131" customFormat="1" x14ac:dyDescent="0.25">
      <c r="C88" s="137"/>
      <c r="J88" s="137"/>
      <c r="K88" s="133"/>
    </row>
    <row r="89" spans="3:68" s="131" customFormat="1" x14ac:dyDescent="0.25">
      <c r="C89" s="137"/>
      <c r="J89" s="137"/>
      <c r="K89" s="133"/>
      <c r="BJ89" s="256"/>
      <c r="BK89" s="256"/>
      <c r="BL89" s="256"/>
      <c r="BM89" s="256"/>
      <c r="BN89" s="256"/>
      <c r="BO89" s="256"/>
      <c r="BP89" s="256"/>
    </row>
    <row r="90" spans="3:68" s="131" customFormat="1" x14ac:dyDescent="0.25">
      <c r="C90" s="137"/>
      <c r="J90" s="137"/>
      <c r="K90" s="133"/>
      <c r="BJ90" s="256"/>
      <c r="BK90" s="256"/>
      <c r="BL90" s="256"/>
      <c r="BM90" s="256"/>
      <c r="BN90" s="256"/>
      <c r="BO90" s="256"/>
      <c r="BP90" s="256"/>
    </row>
    <row r="91" spans="3:68" s="131" customFormat="1" x14ac:dyDescent="0.25">
      <c r="C91" s="137"/>
      <c r="J91" s="137"/>
      <c r="K91" s="133"/>
    </row>
    <row r="92" spans="3:68" s="131" customFormat="1" x14ac:dyDescent="0.25">
      <c r="C92" s="137"/>
      <c r="J92" s="137"/>
      <c r="K92" s="133"/>
    </row>
    <row r="93" spans="3:68" s="131" customFormat="1" x14ac:dyDescent="0.25">
      <c r="C93" s="137"/>
      <c r="J93" s="137"/>
      <c r="K93" s="133"/>
    </row>
    <row r="94" spans="3:68" s="131" customFormat="1" x14ac:dyDescent="0.25">
      <c r="C94" s="137"/>
      <c r="J94" s="137"/>
      <c r="K94" s="133"/>
    </row>
    <row r="95" spans="3:68" s="131" customFormat="1" x14ac:dyDescent="0.25">
      <c r="C95" s="137"/>
      <c r="J95" s="137"/>
      <c r="K95" s="133"/>
    </row>
    <row r="96" spans="3:68" s="131" customFormat="1" x14ac:dyDescent="0.25">
      <c r="C96" s="137"/>
      <c r="J96" s="137"/>
      <c r="K96" s="133"/>
    </row>
    <row r="97" spans="3:80" s="131" customFormat="1" x14ac:dyDescent="0.25">
      <c r="C97" s="137"/>
      <c r="J97" s="137"/>
      <c r="K97" s="133"/>
    </row>
    <row r="98" spans="3:80" s="131" customFormat="1" x14ac:dyDescent="0.25">
      <c r="C98" s="137"/>
      <c r="J98" s="137"/>
      <c r="K98" s="133"/>
    </row>
    <row r="99" spans="3:80" s="131" customFormat="1" x14ac:dyDescent="0.25">
      <c r="C99" s="137"/>
      <c r="J99" s="137"/>
      <c r="K99" s="133"/>
    </row>
    <row r="100" spans="3:80" x14ac:dyDescent="0.25">
      <c r="D100" s="86"/>
      <c r="I100" s="1"/>
      <c r="J100" s="138"/>
      <c r="L100"/>
      <c r="M100" s="58"/>
      <c r="N100" s="48"/>
      <c r="O100" s="58"/>
      <c r="S100"/>
      <c r="BF100" s="1"/>
      <c r="BI100" s="45"/>
      <c r="CB100" s="1"/>
    </row>
  </sheetData>
  <mergeCells count="40">
    <mergeCell ref="A1:B1"/>
    <mergeCell ref="I23:I24"/>
    <mergeCell ref="J23:J24"/>
    <mergeCell ref="A48:B49"/>
    <mergeCell ref="A41:B42"/>
    <mergeCell ref="A2:B2"/>
    <mergeCell ref="A15:B16"/>
    <mergeCell ref="A17:B22"/>
    <mergeCell ref="A9:B14"/>
    <mergeCell ref="A3:B8"/>
    <mergeCell ref="A40:B40"/>
    <mergeCell ref="A43:B45"/>
    <mergeCell ref="A46:B47"/>
    <mergeCell ref="C43:C45"/>
    <mergeCell ref="C46:C47"/>
    <mergeCell ref="C9:C13"/>
    <mergeCell ref="BP89:BP90"/>
    <mergeCell ref="BJ89:BJ90"/>
    <mergeCell ref="BK89:BK90"/>
    <mergeCell ref="BL89:BL90"/>
    <mergeCell ref="BM89:BM90"/>
    <mergeCell ref="BN89:BN90"/>
    <mergeCell ref="Q69:Q70"/>
    <mergeCell ref="BO89:BO90"/>
    <mergeCell ref="Z67:AQ67"/>
    <mergeCell ref="R69:R70"/>
    <mergeCell ref="S69:S70"/>
    <mergeCell ref="R73:R74"/>
    <mergeCell ref="K67:L67"/>
    <mergeCell ref="P67:Q67"/>
    <mergeCell ref="H67:I67"/>
    <mergeCell ref="M67:O67"/>
    <mergeCell ref="A55:B55"/>
    <mergeCell ref="A50:B50"/>
    <mergeCell ref="A51:B54"/>
    <mergeCell ref="A23:B25"/>
    <mergeCell ref="A26:B37"/>
    <mergeCell ref="C23:C24"/>
    <mergeCell ref="A38:B39"/>
    <mergeCell ref="C38:C39"/>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243" r:id="rId4" name="Button 99">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148</v>
      </c>
      <c r="G3" s="28"/>
      <c r="H3" s="160" t="str">
        <f>IF(G3="",E3,G3)</f>
        <v xml:space="preserve">Low cost connectivity </v>
      </c>
      <c r="I3" s="39" t="s">
        <v>497</v>
      </c>
      <c r="J3" s="155" t="s">
        <v>523</v>
      </c>
      <c r="K3" s="135" t="s">
        <v>152</v>
      </c>
    </row>
    <row r="4" spans="1:79" ht="16.5" customHeight="1" x14ac:dyDescent="0.25">
      <c r="A4" s="265"/>
      <c r="B4" s="266"/>
      <c r="C4" s="218"/>
      <c r="D4" s="221" t="s">
        <v>264</v>
      </c>
      <c r="E4" s="122" t="str">
        <f>VLOOKUP(E3,'Pick lists'!$A$1:$B$28, 2,FALSE)</f>
        <v>Ultra-low cost network</v>
      </c>
      <c r="G4" s="223"/>
      <c r="H4" s="160" t="str">
        <f t="shared" ref="H4:H23" si="0">IF(G4="",E4,G4)</f>
        <v>Ultra-low cost network</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100000000</v>
      </c>
      <c r="G18" s="150"/>
      <c r="H18" s="160">
        <f t="shared" si="0"/>
        <v>100000000</v>
      </c>
      <c r="I18" s="223" t="s">
        <v>518</v>
      </c>
      <c r="J18" s="153"/>
    </row>
    <row r="19" spans="1:79" ht="15.75" x14ac:dyDescent="0.25">
      <c r="A19" s="282"/>
      <c r="B19" s="283"/>
      <c r="C19" s="199" t="s">
        <v>567</v>
      </c>
      <c r="D19" s="226" t="s">
        <v>267</v>
      </c>
      <c r="E19" s="103">
        <f>VLOOKUP(E4,Profiles!$A$3:$AJ$27,4,FALSE)</f>
        <v>10000000</v>
      </c>
      <c r="G19" s="150"/>
      <c r="H19" s="160">
        <f t="shared" si="0"/>
        <v>10000000</v>
      </c>
      <c r="I19" s="223" t="s">
        <v>519</v>
      </c>
      <c r="J19" s="153"/>
    </row>
    <row r="20" spans="1:79" ht="30" x14ac:dyDescent="0.25">
      <c r="A20" s="282"/>
      <c r="B20" s="283"/>
      <c r="C20" s="226" t="s">
        <v>574</v>
      </c>
      <c r="D20" s="221" t="s">
        <v>268</v>
      </c>
      <c r="E20" s="103">
        <f>VLOOKUP(E4,Profiles!$A$3:$AJ$27,5,FALSE)</f>
        <v>50</v>
      </c>
      <c r="G20" s="150"/>
      <c r="H20" s="160">
        <f t="shared" si="0"/>
        <v>50</v>
      </c>
      <c r="I20" s="223" t="s">
        <v>520</v>
      </c>
      <c r="J20" s="155" t="s">
        <v>555</v>
      </c>
    </row>
    <row r="21" spans="1:79" x14ac:dyDescent="0.25">
      <c r="A21" s="282"/>
      <c r="B21" s="283"/>
      <c r="C21" s="194"/>
      <c r="D21" s="226" t="s">
        <v>270</v>
      </c>
      <c r="E21" s="104">
        <f>ROUND((E13*E18)/(1024*1024),0)</f>
        <v>13</v>
      </c>
      <c r="G21" s="150"/>
      <c r="H21" s="163">
        <f t="shared" si="0"/>
        <v>13</v>
      </c>
      <c r="I21" s="223" t="s">
        <v>521</v>
      </c>
      <c r="J21" s="153" t="s">
        <v>556</v>
      </c>
    </row>
    <row r="22" spans="1:79" ht="15.75" x14ac:dyDescent="0.25">
      <c r="A22" s="284"/>
      <c r="B22" s="285"/>
      <c r="C22" s="193"/>
      <c r="D22" s="226" t="s">
        <v>271</v>
      </c>
      <c r="E22" s="104">
        <f>ROUND((E13*E19)/(1024*1024),0)</f>
        <v>1</v>
      </c>
      <c r="G22" s="150"/>
      <c r="H22" s="163">
        <f t="shared" si="0"/>
        <v>1</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Yes</v>
      </c>
      <c r="G34" s="150"/>
      <c r="H34" s="161" t="str">
        <f t="shared" si="1"/>
        <v>Yes</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50</v>
      </c>
      <c r="G40" s="150"/>
      <c r="H40" s="160">
        <f t="shared" si="1"/>
        <v>50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v>
      </c>
      <c r="F50" s="173"/>
      <c r="G50" s="176"/>
      <c r="H50" s="161" t="str">
        <f t="shared" si="1"/>
        <v>-</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5" tint="0.39997558519241921"/>
  </sheetPr>
  <dimension ref="A1:CB100"/>
  <sheetViews>
    <sheetView zoomScale="93" zoomScaleNormal="93" workbookViewId="0">
      <selection activeCell="G37" sqref="G37"/>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131</v>
      </c>
      <c r="G3" s="28"/>
      <c r="H3" s="160" t="str">
        <f>IF(G3="",E3,G3)</f>
        <v>Stream video (public)</v>
      </c>
      <c r="I3" s="39" t="s">
        <v>497</v>
      </c>
      <c r="J3" s="155" t="s">
        <v>523</v>
      </c>
      <c r="K3" s="135" t="s">
        <v>152</v>
      </c>
    </row>
    <row r="4" spans="1:79" ht="16.5" customHeight="1" x14ac:dyDescent="0.25">
      <c r="A4" s="265"/>
      <c r="B4" s="266"/>
      <c r="C4" s="218"/>
      <c r="D4" s="221" t="s">
        <v>264</v>
      </c>
      <c r="E4" s="122" t="str">
        <f>VLOOKUP(E3,'Pick lists'!$A$1:$B$28, 2,FALSE)</f>
        <v>50+ Mbps suburban</v>
      </c>
      <c r="G4" s="223"/>
      <c r="H4" s="160" t="str">
        <f t="shared" ref="H4:H23" si="0">IF(G4="",E4,G4)</f>
        <v>50+ Mbps suburban</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500000000</v>
      </c>
      <c r="G18" s="150"/>
      <c r="H18" s="160">
        <f t="shared" si="0"/>
        <v>500000000</v>
      </c>
      <c r="I18" s="223" t="s">
        <v>518</v>
      </c>
      <c r="J18" s="153"/>
    </row>
    <row r="19" spans="1:79" ht="15.75" x14ac:dyDescent="0.25">
      <c r="A19" s="282"/>
      <c r="B19" s="283"/>
      <c r="C19" s="199" t="s">
        <v>567</v>
      </c>
      <c r="D19" s="226" t="s">
        <v>267</v>
      </c>
      <c r="E19" s="103">
        <f>VLOOKUP(E4,Profiles!$A$3:$AJ$27,4,FALSE)</f>
        <v>25000000</v>
      </c>
      <c r="G19" s="150"/>
      <c r="H19" s="160">
        <f t="shared" si="0"/>
        <v>25000000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67</v>
      </c>
      <c r="G21" s="150"/>
      <c r="H21" s="163">
        <f t="shared" si="0"/>
        <v>67</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Yes</v>
      </c>
      <c r="G34" s="150"/>
      <c r="H34" s="161" t="str">
        <f t="shared" si="1"/>
        <v>Yes</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Yes</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120</v>
      </c>
      <c r="G40" s="150"/>
      <c r="H40" s="160">
        <f t="shared" si="1"/>
        <v>120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5" tint="0.39997558519241921"/>
  </sheetPr>
  <dimension ref="A1:CB100"/>
  <sheetViews>
    <sheetView zoomScale="93" zoomScaleNormal="93" workbookViewId="0">
      <selection activeCell="G37" sqref="G37"/>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592</v>
      </c>
      <c r="G3" s="28"/>
      <c r="H3" s="160" t="str">
        <f>IF(G3="",E3,G3)</f>
        <v>Access internet rural location</v>
      </c>
      <c r="I3" s="39" t="s">
        <v>497</v>
      </c>
      <c r="J3" s="155" t="s">
        <v>523</v>
      </c>
      <c r="K3" s="135" t="s">
        <v>152</v>
      </c>
    </row>
    <row r="4" spans="1:79" ht="16.5" customHeight="1" x14ac:dyDescent="0.25">
      <c r="A4" s="265"/>
      <c r="B4" s="266"/>
      <c r="C4" s="218"/>
      <c r="D4" s="221" t="s">
        <v>264</v>
      </c>
      <c r="E4" s="122" t="str">
        <f>VLOOKUP(E3,'Pick lists'!$A$1:$B$29, 2,FALSE)</f>
        <v>50+ Mbps rural</v>
      </c>
      <c r="G4" s="223"/>
      <c r="H4" s="160" t="str">
        <f t="shared" ref="H4:H23" si="0">IF(G4="",E4,G4)</f>
        <v>50+ Mbps rural</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500000000</v>
      </c>
      <c r="G18" s="150"/>
      <c r="H18" s="160">
        <f t="shared" si="0"/>
        <v>500000000</v>
      </c>
      <c r="I18" s="223" t="s">
        <v>518</v>
      </c>
      <c r="J18" s="153"/>
    </row>
    <row r="19" spans="1:79" ht="15.75" x14ac:dyDescent="0.25">
      <c r="A19" s="282"/>
      <c r="B19" s="283"/>
      <c r="C19" s="199" t="s">
        <v>567</v>
      </c>
      <c r="D19" s="226" t="s">
        <v>267</v>
      </c>
      <c r="E19" s="103">
        <f>VLOOKUP(E4,Profiles!$A$3:$AJ$27,4,FALSE)</f>
        <v>25000000</v>
      </c>
      <c r="G19" s="150"/>
      <c r="H19" s="160">
        <f t="shared" si="0"/>
        <v>25000000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67</v>
      </c>
      <c r="G21" s="150"/>
      <c r="H21" s="163">
        <f t="shared" si="0"/>
        <v>67</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Yes</v>
      </c>
      <c r="G34" s="150"/>
      <c r="H34" s="161" t="str">
        <f t="shared" si="1"/>
        <v>Yes</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Yes</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120</v>
      </c>
      <c r="G40" s="150"/>
      <c r="H40" s="160">
        <f t="shared" si="1"/>
        <v>120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 type="list" allowBlank="1" showInputMessage="1" showErrorMessage="1">
          <x14:formula1>
            <xm:f>'Pick lists'!$A$2:$A$29</xm:f>
          </x14:formula1>
          <xm:sqref>E3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59999389629810485"/>
  </sheetPr>
  <dimension ref="A1:CB100"/>
  <sheetViews>
    <sheetView zoomScale="93" zoomScaleNormal="93" workbookViewId="0">
      <selection activeCell="H39" sqref="H39"/>
    </sheetView>
  </sheetViews>
  <sheetFormatPr defaultRowHeight="15" x14ac:dyDescent="0.25"/>
  <cols>
    <col min="1" max="1" width="9.140625" style="212"/>
    <col min="2" max="2" width="17.28515625" style="212" bestFit="1" customWidth="1"/>
    <col min="3" max="3" width="39.42578125" style="212" bestFit="1" customWidth="1"/>
    <col min="4" max="4" width="49" style="215" bestFit="1" customWidth="1"/>
    <col min="5" max="5" width="48.140625" style="215" customWidth="1"/>
    <col min="6" max="6" width="11.42578125" style="212" customWidth="1"/>
    <col min="7" max="7" width="32.140625" style="215" customWidth="1"/>
    <col min="8" max="8" width="36.140625" style="215" bestFit="1" customWidth="1"/>
    <col min="9" max="9" width="85.85546875" style="212" customWidth="1"/>
    <col min="10" max="10" width="73.42578125" style="212" customWidth="1"/>
    <col min="11" max="11" width="28.42578125" style="133" bestFit="1" customWidth="1"/>
    <col min="12" max="14" width="28.42578125" style="212" customWidth="1"/>
    <col min="15" max="16" width="28.42578125" style="212" bestFit="1" customWidth="1"/>
    <col min="17" max="17" width="32.5703125" style="212" bestFit="1" customWidth="1"/>
    <col min="18" max="18" width="29.5703125" style="212" bestFit="1" customWidth="1"/>
    <col min="19" max="19" width="30.140625" style="215" bestFit="1" customWidth="1"/>
    <col min="20" max="20" width="28.140625" style="215" bestFit="1" customWidth="1"/>
    <col min="21" max="21" width="31.28515625" style="215" bestFit="1" customWidth="1"/>
    <col min="22" max="22" width="31.7109375" style="215" bestFit="1" customWidth="1"/>
    <col min="23" max="23" width="28.42578125" style="215" bestFit="1" customWidth="1"/>
    <col min="24" max="24" width="26.140625" style="215" customWidth="1"/>
    <col min="25" max="25" width="21.7109375" style="215" bestFit="1" customWidth="1"/>
    <col min="26" max="29" width="21.7109375" style="215" customWidth="1"/>
    <col min="30" max="31" width="21.7109375" style="215" bestFit="1" customWidth="1"/>
    <col min="32" max="33" width="21.7109375" style="215" customWidth="1"/>
    <col min="34" max="34" width="21.7109375" style="215" bestFit="1" customWidth="1"/>
    <col min="35" max="39" width="21.7109375" style="215" customWidth="1"/>
    <col min="40" max="40" width="21" style="215" customWidth="1"/>
    <col min="41" max="41" width="18.7109375" style="215" customWidth="1"/>
    <col min="42" max="42" width="27.5703125" style="215" bestFit="1" customWidth="1"/>
    <col min="43" max="44" width="30" style="215" bestFit="1" customWidth="1"/>
    <col min="45" max="45" width="28.42578125" style="215" bestFit="1" customWidth="1"/>
    <col min="46" max="47" width="30" style="215" bestFit="1" customWidth="1"/>
    <col min="48" max="48" width="29.42578125" style="215" bestFit="1" customWidth="1"/>
    <col min="49" max="51" width="26.140625" style="215" customWidth="1"/>
    <col min="52" max="52" width="28.85546875" style="215" bestFit="1" customWidth="1"/>
    <col min="53" max="53" width="26.140625" style="215" customWidth="1"/>
    <col min="54" max="54" width="28.85546875" style="215" bestFit="1" customWidth="1"/>
    <col min="55" max="57" width="26.140625" style="215" customWidth="1"/>
    <col min="58" max="60" width="26.140625" style="133" customWidth="1"/>
    <col min="61" max="66" width="26.140625" style="215" customWidth="1"/>
    <col min="67" max="67" width="25.5703125" style="215" bestFit="1" customWidth="1"/>
    <col min="68" max="73" width="26.140625" style="215" customWidth="1"/>
    <col min="74" max="74" width="35.42578125" style="215" customWidth="1"/>
    <col min="75" max="79" width="26.140625" style="215" customWidth="1"/>
    <col min="80" max="80" width="33.5703125" style="212" customWidth="1"/>
    <col min="81" max="81" width="51.140625" style="212" customWidth="1"/>
    <col min="82" max="16384" width="9.140625" style="212"/>
  </cols>
  <sheetData>
    <row r="1" spans="1:79" x14ac:dyDescent="0.25">
      <c r="A1" s="274"/>
      <c r="B1" s="274"/>
      <c r="C1" s="206" t="s">
        <v>480</v>
      </c>
      <c r="D1" s="215" t="s">
        <v>481</v>
      </c>
      <c r="E1" s="215" t="s">
        <v>482</v>
      </c>
      <c r="G1" s="215" t="s">
        <v>335</v>
      </c>
      <c r="H1" s="215" t="s">
        <v>307</v>
      </c>
      <c r="I1" s="149" t="s">
        <v>479</v>
      </c>
      <c r="J1" s="149" t="s">
        <v>526</v>
      </c>
    </row>
    <row r="2" spans="1:79" x14ac:dyDescent="0.25">
      <c r="A2" s="280" t="s">
        <v>255</v>
      </c>
      <c r="B2" s="281"/>
      <c r="D2" s="205" t="s">
        <v>254</v>
      </c>
      <c r="E2" s="151" t="s">
        <v>311</v>
      </c>
      <c r="G2" s="28"/>
      <c r="H2" s="160" t="str">
        <f>IF(G2="",E2,G2)</f>
        <v>First Reponse Unit Italy</v>
      </c>
      <c r="I2" s="212" t="s">
        <v>498</v>
      </c>
      <c r="J2" s="153"/>
      <c r="K2" s="151" t="s">
        <v>339</v>
      </c>
    </row>
    <row r="3" spans="1:79" ht="30" x14ac:dyDescent="0.25">
      <c r="A3" s="263" t="s">
        <v>256</v>
      </c>
      <c r="B3" s="264"/>
      <c r="C3" s="207"/>
      <c r="D3" s="205" t="s">
        <v>308</v>
      </c>
      <c r="E3" s="94" t="s">
        <v>235</v>
      </c>
      <c r="G3" s="28"/>
      <c r="H3" s="160" t="str">
        <f>IF(G3="",E3,G3)</f>
        <v>Collect wearable sensor data</v>
      </c>
      <c r="I3" s="39" t="s">
        <v>497</v>
      </c>
      <c r="J3" s="155" t="s">
        <v>523</v>
      </c>
      <c r="K3" s="135" t="s">
        <v>152</v>
      </c>
    </row>
    <row r="4" spans="1:79" ht="16.5" customHeight="1" x14ac:dyDescent="0.25">
      <c r="A4" s="265"/>
      <c r="B4" s="266"/>
      <c r="C4" s="210"/>
      <c r="D4" s="205" t="s">
        <v>264</v>
      </c>
      <c r="E4" s="122" t="str">
        <f>VLOOKUP(E3,'Pick lists'!$A$1:$B$28, 2,FALSE)</f>
        <v xml:space="preserve">Smart wearables </v>
      </c>
      <c r="G4" s="212"/>
      <c r="H4" s="160" t="str">
        <f t="shared" ref="H4:H23" si="0">IF(G4="",E4,G4)</f>
        <v xml:space="preserve">Smart wearables </v>
      </c>
      <c r="I4" s="212" t="s">
        <v>496</v>
      </c>
      <c r="J4" s="153" t="s">
        <v>527</v>
      </c>
      <c r="K4" s="152" t="s">
        <v>340</v>
      </c>
    </row>
    <row r="5" spans="1:79" s="39" customFormat="1" ht="24" customHeight="1" thickBot="1" x14ac:dyDescent="0.3">
      <c r="A5" s="265"/>
      <c r="B5" s="266"/>
      <c r="C5" s="210"/>
      <c r="D5" s="205" t="s">
        <v>330</v>
      </c>
      <c r="E5" s="122" t="str">
        <f>VLOOKUP(E4,Profiles!$A$3:$AJ$27,36,FALSE)</f>
        <v>mIOT</v>
      </c>
      <c r="G5" s="133"/>
      <c r="H5" s="160" t="str">
        <f t="shared" si="0"/>
        <v>mIOT</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0"/>
      <c r="D6" s="205" t="s">
        <v>331</v>
      </c>
      <c r="E6" s="129"/>
      <c r="G6" s="28"/>
      <c r="H6" s="160" t="str">
        <f>IF(AND(ISBLANK(E6),ISBLANK(G6)),"",IF(ISBLANK(G6),E6,G6))</f>
        <v/>
      </c>
      <c r="I6" s="178" t="s">
        <v>529</v>
      </c>
      <c r="J6" s="155" t="s">
        <v>528</v>
      </c>
    </row>
    <row r="7" spans="1:79" ht="16.5" customHeight="1" thickTop="1" x14ac:dyDescent="0.25">
      <c r="A7" s="265"/>
      <c r="B7" s="266"/>
      <c r="C7" s="210" t="s">
        <v>287</v>
      </c>
      <c r="D7" s="205" t="s">
        <v>287</v>
      </c>
      <c r="E7" s="151">
        <v>200000</v>
      </c>
      <c r="G7" s="28"/>
      <c r="H7" s="160">
        <f>IF(ISBLANK(G7),E7,G7)</f>
        <v>200000</v>
      </c>
      <c r="I7" s="212" t="s">
        <v>494</v>
      </c>
      <c r="J7" s="153"/>
    </row>
    <row r="8" spans="1:79" ht="16.5" customHeight="1" x14ac:dyDescent="0.25">
      <c r="A8" s="267"/>
      <c r="B8" s="268"/>
      <c r="C8" s="208" t="s">
        <v>290</v>
      </c>
      <c r="D8" s="205" t="s">
        <v>290</v>
      </c>
      <c r="E8" s="151"/>
      <c r="G8" s="28"/>
      <c r="H8" s="160">
        <f>IF(AND(G8="",E7&lt;&gt;""),E7,G8)</f>
        <v>200000</v>
      </c>
      <c r="I8" s="212" t="s">
        <v>495</v>
      </c>
      <c r="J8" s="153"/>
    </row>
    <row r="9" spans="1:79" ht="16.5" customHeight="1" x14ac:dyDescent="0.25">
      <c r="A9" s="263" t="s">
        <v>141</v>
      </c>
      <c r="B9" s="264"/>
      <c r="C9" s="269" t="s">
        <v>588</v>
      </c>
      <c r="D9" s="205" t="s">
        <v>0</v>
      </c>
      <c r="E9" s="151" t="s">
        <v>1</v>
      </c>
      <c r="G9" s="28"/>
      <c r="H9" s="160" t="str">
        <f t="shared" si="0"/>
        <v>National</v>
      </c>
      <c r="I9" s="212" t="s">
        <v>492</v>
      </c>
      <c r="J9" s="153"/>
    </row>
    <row r="10" spans="1:79" ht="16.5" customHeight="1" x14ac:dyDescent="0.25">
      <c r="A10" s="265"/>
      <c r="B10" s="266"/>
      <c r="C10" s="269"/>
      <c r="D10" s="205" t="s">
        <v>140</v>
      </c>
      <c r="E10" s="151" t="s">
        <v>160</v>
      </c>
      <c r="G10" s="28"/>
      <c r="H10" s="160" t="str">
        <f t="shared" si="0"/>
        <v>Italy</v>
      </c>
      <c r="I10" s="212" t="s">
        <v>493</v>
      </c>
      <c r="J10" s="153"/>
    </row>
    <row r="11" spans="1:79" ht="16.5" customHeight="1" x14ac:dyDescent="0.25">
      <c r="A11" s="265"/>
      <c r="B11" s="266"/>
      <c r="C11" s="269"/>
      <c r="D11" s="205" t="s">
        <v>276</v>
      </c>
      <c r="E11" s="135" t="s">
        <v>277</v>
      </c>
      <c r="H11" s="160" t="str">
        <f t="shared" si="0"/>
        <v>&lt;geopolygon&gt;</v>
      </c>
      <c r="I11" s="212" t="s">
        <v>491</v>
      </c>
      <c r="J11" s="153"/>
    </row>
    <row r="12" spans="1:79" ht="47.25" customHeight="1" x14ac:dyDescent="0.25">
      <c r="A12" s="265"/>
      <c r="B12" s="266"/>
      <c r="C12" s="269"/>
      <c r="D12" s="205" t="s">
        <v>261</v>
      </c>
      <c r="E12" s="135">
        <f>VLOOKUP(E10,'Pick lists'!M2:N8,2,FALSE)</f>
        <v>277248</v>
      </c>
      <c r="G12" s="28"/>
      <c r="H12" s="160">
        <f t="shared" si="0"/>
        <v>277248</v>
      </c>
      <c r="I12" s="178" t="s">
        <v>490</v>
      </c>
      <c r="J12" s="153"/>
    </row>
    <row r="13" spans="1:79" x14ac:dyDescent="0.25">
      <c r="A13" s="265"/>
      <c r="B13" s="266"/>
      <c r="C13" s="269"/>
      <c r="D13" s="205" t="s">
        <v>269</v>
      </c>
      <c r="E13" s="157">
        <f>ROUND((E7*E17)/E12,2)</f>
        <v>7.0000000000000007E-2</v>
      </c>
      <c r="G13" s="28"/>
      <c r="H13" s="160">
        <f t="shared" si="0"/>
        <v>7.0000000000000007E-2</v>
      </c>
      <c r="I13" s="212" t="s">
        <v>488</v>
      </c>
      <c r="J13" s="153" t="s">
        <v>551</v>
      </c>
    </row>
    <row r="14" spans="1:79" ht="45" x14ac:dyDescent="0.25">
      <c r="A14" s="267"/>
      <c r="B14" s="268"/>
      <c r="C14" s="213" t="s">
        <v>571</v>
      </c>
      <c r="D14" s="205"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05"/>
      <c r="D15" s="205" t="s">
        <v>262</v>
      </c>
      <c r="E15" s="105">
        <v>43581.5</v>
      </c>
      <c r="G15" s="150"/>
      <c r="H15" s="161">
        <f>IF(G15="",E15,G15)</f>
        <v>43581.5</v>
      </c>
      <c r="J15" s="153"/>
    </row>
    <row r="16" spans="1:79" ht="15" customHeight="1" x14ac:dyDescent="0.25">
      <c r="A16" s="267"/>
      <c r="B16" s="268"/>
      <c r="C16" s="205"/>
      <c r="D16" s="205" t="s">
        <v>263</v>
      </c>
      <c r="E16" s="106" t="s">
        <v>274</v>
      </c>
      <c r="G16" s="150"/>
      <c r="H16" s="162" t="str">
        <f>IF(G16="",E16,G16)</f>
        <v>-</v>
      </c>
      <c r="J16" s="153"/>
    </row>
    <row r="17" spans="1:79" ht="15" customHeight="1" x14ac:dyDescent="0.25">
      <c r="A17" s="261" t="s">
        <v>265</v>
      </c>
      <c r="B17" s="262"/>
      <c r="C17" s="42"/>
      <c r="D17" s="205" t="s">
        <v>500</v>
      </c>
      <c r="E17" s="114">
        <f>VLOOKUP(E4,Profiles!$A$3:$AK$27,37,FALSE)</f>
        <v>0.1</v>
      </c>
      <c r="G17" s="150"/>
      <c r="H17" s="162">
        <f>IF(G17="",E17,G17)</f>
        <v>0.1</v>
      </c>
      <c r="I17" s="212" t="s">
        <v>517</v>
      </c>
      <c r="J17" s="153" t="s">
        <v>499</v>
      </c>
    </row>
    <row r="18" spans="1:79" ht="15" customHeight="1" x14ac:dyDescent="0.25">
      <c r="A18" s="282"/>
      <c r="B18" s="283"/>
      <c r="C18" s="198" t="s">
        <v>576</v>
      </c>
      <c r="D18" s="211" t="s">
        <v>266</v>
      </c>
      <c r="E18" s="103">
        <f>VLOOKUP(E4,Profiles!$A$3:$AJ$27,3,FALSE)</f>
        <v>100000</v>
      </c>
      <c r="G18" s="150"/>
      <c r="H18" s="160">
        <f t="shared" si="0"/>
        <v>100000</v>
      </c>
      <c r="I18" s="212" t="s">
        <v>518</v>
      </c>
      <c r="J18" s="153"/>
    </row>
    <row r="19" spans="1:79" ht="15.75" x14ac:dyDescent="0.25">
      <c r="A19" s="282"/>
      <c r="B19" s="283"/>
      <c r="C19" s="199" t="s">
        <v>567</v>
      </c>
      <c r="D19" s="211" t="s">
        <v>267</v>
      </c>
      <c r="E19" s="103">
        <f>VLOOKUP(E4,Profiles!$A$3:$AJ$27,4,FALSE)</f>
        <v>100000</v>
      </c>
      <c r="G19" s="150"/>
      <c r="H19" s="160">
        <f t="shared" si="0"/>
        <v>100000</v>
      </c>
      <c r="I19" s="212" t="s">
        <v>519</v>
      </c>
      <c r="J19" s="153"/>
    </row>
    <row r="20" spans="1:79" ht="30" x14ac:dyDescent="0.25">
      <c r="A20" s="282"/>
      <c r="B20" s="283"/>
      <c r="C20" s="211" t="s">
        <v>574</v>
      </c>
      <c r="D20" s="205" t="s">
        <v>268</v>
      </c>
      <c r="E20" s="103">
        <f>VLOOKUP(E4,Profiles!$A$3:$AJ$27,5,FALSE)</f>
        <v>3000</v>
      </c>
      <c r="G20" s="150"/>
      <c r="H20" s="160">
        <f t="shared" si="0"/>
        <v>3000</v>
      </c>
      <c r="I20" s="212" t="s">
        <v>520</v>
      </c>
      <c r="J20" s="155" t="s">
        <v>555</v>
      </c>
    </row>
    <row r="21" spans="1:79" x14ac:dyDescent="0.25">
      <c r="A21" s="282"/>
      <c r="B21" s="283"/>
      <c r="C21" s="194"/>
      <c r="D21" s="211" t="s">
        <v>270</v>
      </c>
      <c r="E21" s="104">
        <f>ROUND((E13*E18)/(1024*1024),0)</f>
        <v>0</v>
      </c>
      <c r="G21" s="150"/>
      <c r="H21" s="163">
        <f t="shared" si="0"/>
        <v>0</v>
      </c>
      <c r="I21" s="212" t="s">
        <v>521</v>
      </c>
      <c r="J21" s="153" t="s">
        <v>556</v>
      </c>
    </row>
    <row r="22" spans="1:79" ht="15.75" x14ac:dyDescent="0.25">
      <c r="A22" s="284"/>
      <c r="B22" s="285"/>
      <c r="C22" s="193"/>
      <c r="D22" s="211" t="s">
        <v>271</v>
      </c>
      <c r="E22" s="104">
        <f>ROUND((E13*E19)/(1024*1024),0)</f>
        <v>0</v>
      </c>
      <c r="G22" s="150"/>
      <c r="H22" s="163">
        <f t="shared" si="0"/>
        <v>0</v>
      </c>
      <c r="I22" s="212"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12"/>
      <c r="H24" s="164"/>
      <c r="I24" s="275"/>
      <c r="J24" s="275"/>
    </row>
    <row r="25" spans="1:79" s="39" customFormat="1" ht="30" x14ac:dyDescent="0.25">
      <c r="A25" s="269"/>
      <c r="B25" s="269"/>
      <c r="C25" s="205" t="s">
        <v>575</v>
      </c>
      <c r="D25" s="205" t="s">
        <v>299</v>
      </c>
      <c r="E25" s="114" t="str">
        <f>VLOOKUP(E4,Profiles!$A$3:$AJ$27,6,FALSE)</f>
        <v>Yes</v>
      </c>
      <c r="G25" s="152"/>
      <c r="H25" s="160" t="str">
        <f t="shared" ref="H25:H54" si="1">IF(G25="",E25,G25)</f>
        <v>Yes</v>
      </c>
      <c r="I25" s="39" t="s">
        <v>512</v>
      </c>
      <c r="J25" s="204" t="s">
        <v>507</v>
      </c>
      <c r="K25" s="133"/>
    </row>
    <row r="26" spans="1:79" x14ac:dyDescent="0.25">
      <c r="A26" s="254" t="s">
        <v>566</v>
      </c>
      <c r="B26" s="254"/>
      <c r="C26" s="211" t="s">
        <v>306</v>
      </c>
      <c r="D26" s="211" t="s">
        <v>306</v>
      </c>
      <c r="E26" s="102" t="str">
        <f>VLOOKUP(E4,Profiles!$A$3:$AJ$28,27,FALSE)</f>
        <v>Yes</v>
      </c>
      <c r="G26" s="150"/>
      <c r="H26" s="161" t="str">
        <f>IF(G26="",E26,G26)</f>
        <v>Yes</v>
      </c>
      <c r="I26" s="212" t="s">
        <v>513</v>
      </c>
      <c r="J26" s="153"/>
    </row>
    <row r="27" spans="1:79" x14ac:dyDescent="0.25">
      <c r="A27" s="254"/>
      <c r="B27" s="254"/>
      <c r="C27" s="211" t="s">
        <v>217</v>
      </c>
      <c r="D27" s="211" t="s">
        <v>217</v>
      </c>
      <c r="E27" s="103" t="str">
        <f>VLOOKUP(E4,Profiles!$A$3:$AJ$27,21,FALSE)</f>
        <v>No</v>
      </c>
      <c r="G27" s="150"/>
      <c r="H27" s="161" t="str">
        <f t="shared" si="1"/>
        <v>No</v>
      </c>
      <c r="I27" s="212" t="s">
        <v>514</v>
      </c>
      <c r="J27" s="153"/>
    </row>
    <row r="28" spans="1:79" ht="14.25" customHeight="1" x14ac:dyDescent="0.25">
      <c r="A28" s="254"/>
      <c r="B28" s="254"/>
      <c r="C28" s="205" t="s">
        <v>281</v>
      </c>
      <c r="D28" s="205" t="s">
        <v>281</v>
      </c>
      <c r="E28" s="102" t="s">
        <v>274</v>
      </c>
      <c r="G28" s="150"/>
      <c r="H28" s="161" t="str">
        <f t="shared" si="1"/>
        <v>-</v>
      </c>
      <c r="I28" s="212"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0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12" t="s">
        <v>515</v>
      </c>
      <c r="J30" s="153"/>
    </row>
    <row r="31" spans="1:79" x14ac:dyDescent="0.25">
      <c r="A31" s="254"/>
      <c r="B31" s="254"/>
      <c r="C31" s="205" t="s">
        <v>208</v>
      </c>
      <c r="D31" s="205" t="s">
        <v>208</v>
      </c>
      <c r="E31" s="102" t="s">
        <v>274</v>
      </c>
      <c r="G31" s="150"/>
      <c r="H31" s="161" t="str">
        <f t="shared" si="1"/>
        <v>-</v>
      </c>
      <c r="I31" s="212" t="s">
        <v>552</v>
      </c>
      <c r="J31" s="156" t="s">
        <v>550</v>
      </c>
    </row>
    <row r="32" spans="1:79" x14ac:dyDescent="0.25">
      <c r="A32" s="254"/>
      <c r="B32" s="254"/>
      <c r="C32" s="211" t="s">
        <v>557</v>
      </c>
      <c r="D32" s="205" t="s">
        <v>557</v>
      </c>
      <c r="E32" s="102"/>
      <c r="G32" s="150"/>
      <c r="H32" s="161"/>
      <c r="I32" s="212" t="s">
        <v>552</v>
      </c>
      <c r="J32" s="156" t="s">
        <v>558</v>
      </c>
    </row>
    <row r="33" spans="1:11" ht="15" customHeight="1" x14ac:dyDescent="0.25">
      <c r="A33" s="254"/>
      <c r="B33" s="254"/>
      <c r="C33" s="211" t="s">
        <v>574</v>
      </c>
      <c r="D33" s="205" t="s">
        <v>280</v>
      </c>
      <c r="E33" s="145">
        <f>VLOOKUP(E4,Profiles!$A$3:$AJ$27,35,FALSE)</f>
        <v>6</v>
      </c>
      <c r="G33" s="150"/>
      <c r="H33" s="162">
        <f t="shared" si="1"/>
        <v>6</v>
      </c>
      <c r="I33" s="212" t="s">
        <v>553</v>
      </c>
      <c r="J33" s="153"/>
    </row>
    <row r="34" spans="1:11" ht="15" customHeight="1" x14ac:dyDescent="0.25">
      <c r="A34" s="254"/>
      <c r="B34" s="254"/>
      <c r="C34" s="205" t="s">
        <v>215</v>
      </c>
      <c r="D34" s="205" t="s">
        <v>215</v>
      </c>
      <c r="E34" s="102" t="str">
        <f>VLOOKUP(E4,Profiles!$A$3:$AJ$27,19,FALSE)</f>
        <v>No</v>
      </c>
      <c r="G34" s="150"/>
      <c r="H34" s="161" t="str">
        <f t="shared" si="1"/>
        <v>No</v>
      </c>
      <c r="I34" s="156" t="s">
        <v>486</v>
      </c>
      <c r="J34" s="153"/>
    </row>
    <row r="35" spans="1:11" x14ac:dyDescent="0.25">
      <c r="A35" s="254"/>
      <c r="B35" s="254"/>
      <c r="C35" s="205" t="s">
        <v>279</v>
      </c>
      <c r="D35" s="205" t="s">
        <v>279</v>
      </c>
      <c r="E35" s="102" t="str">
        <f>VLOOKUP(E4,Profiles!$A$3:$AJ$27,11,FALSE)</f>
        <v>Yes</v>
      </c>
      <c r="G35" s="150"/>
      <c r="H35" s="161" t="str">
        <f t="shared" si="1"/>
        <v>Yes</v>
      </c>
      <c r="I35" s="156" t="s">
        <v>485</v>
      </c>
      <c r="J35" s="153"/>
    </row>
    <row r="36" spans="1:11" ht="45" x14ac:dyDescent="0.25">
      <c r="A36" s="254"/>
      <c r="B36" s="254"/>
      <c r="C36" s="205" t="s">
        <v>559</v>
      </c>
      <c r="D36" s="205" t="s">
        <v>559</v>
      </c>
      <c r="E36" s="102" t="str">
        <f>VLOOKUP(E4,Profiles!$A$3:$AJ$27,25,FALSE)</f>
        <v>No</v>
      </c>
      <c r="G36" s="150"/>
      <c r="H36" s="161"/>
      <c r="I36" s="204" t="s">
        <v>561</v>
      </c>
      <c r="J36" s="155" t="s">
        <v>564</v>
      </c>
    </row>
    <row r="37" spans="1:11" ht="45" x14ac:dyDescent="0.25">
      <c r="A37" s="254"/>
      <c r="B37" s="254"/>
      <c r="C37" s="205" t="s">
        <v>560</v>
      </c>
      <c r="D37" s="205" t="s">
        <v>560</v>
      </c>
      <c r="E37" s="102" t="str">
        <f>VLOOKUP(E4,Profiles!$A$3:$AJ$27,24,FALSE)</f>
        <v>SSC1</v>
      </c>
      <c r="G37" s="150"/>
      <c r="H37" s="161"/>
      <c r="I37" s="156" t="s">
        <v>562</v>
      </c>
      <c r="J37" s="155" t="s">
        <v>565</v>
      </c>
    </row>
    <row r="38" spans="1:11" ht="30" x14ac:dyDescent="0.25">
      <c r="A38" s="263" t="s">
        <v>582</v>
      </c>
      <c r="B38" s="264"/>
      <c r="C38" s="272" t="s">
        <v>577</v>
      </c>
      <c r="D38" s="205" t="s">
        <v>577</v>
      </c>
      <c r="E38" s="102" t="str">
        <f>VLOOKUP(E4,Profiles!$A$3:$AP$27,42,FALSE)</f>
        <v>Termination in private network</v>
      </c>
      <c r="G38" s="150"/>
      <c r="H38" s="161" t="str">
        <f t="shared" ref="H38:H39" si="2">IF(G38="",E38,G38)</f>
        <v>Termination in private network</v>
      </c>
      <c r="I38" s="204" t="s">
        <v>581</v>
      </c>
      <c r="J38" s="155"/>
    </row>
    <row r="39" spans="1:11" ht="30" x14ac:dyDescent="0.25">
      <c r="A39" s="267"/>
      <c r="B39" s="268"/>
      <c r="C39" s="273"/>
      <c r="D39" s="205" t="s">
        <v>583</v>
      </c>
      <c r="E39" s="102" t="str">
        <f>VLOOKUP(E4,Profiles!$A$3:$AQ$27,43,FALSE)</f>
        <v>VPN</v>
      </c>
      <c r="G39" s="150"/>
      <c r="H39" s="161" t="str">
        <f t="shared" si="2"/>
        <v>VPN</v>
      </c>
      <c r="I39" s="204" t="s">
        <v>581</v>
      </c>
      <c r="J39" s="155"/>
    </row>
    <row r="40" spans="1:11" s="215" customFormat="1" ht="15" customHeight="1" x14ac:dyDescent="0.25">
      <c r="A40" s="286" t="s">
        <v>297</v>
      </c>
      <c r="B40" s="286"/>
      <c r="C40" s="205" t="s">
        <v>575</v>
      </c>
      <c r="D40" s="211"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12"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12" t="s">
        <v>589</v>
      </c>
      <c r="J42" s="153"/>
    </row>
    <row r="43" spans="1:11" ht="15" customHeight="1" x14ac:dyDescent="0.25">
      <c r="A43" s="261" t="s">
        <v>317</v>
      </c>
      <c r="B43" s="262"/>
      <c r="C43" s="270" t="s">
        <v>279</v>
      </c>
      <c r="D43" s="41" t="s">
        <v>336</v>
      </c>
      <c r="E43" s="102" t="str">
        <f>IF(VLOOKUP(E4,Profiles!$A$3:$AJ$27,11,FALSE)="Yes",VLOOKUP(E4,Profiles!$A$3:$AJ$27,12,FALSE),"-")</f>
        <v>E-CID</v>
      </c>
      <c r="G43" s="150"/>
      <c r="H43" s="161" t="str">
        <f t="shared" si="1"/>
        <v>E-CID</v>
      </c>
      <c r="I43" s="212" t="s">
        <v>509</v>
      </c>
      <c r="J43" s="153"/>
    </row>
    <row r="44" spans="1:11" ht="15" customHeight="1" x14ac:dyDescent="0.25">
      <c r="A44" s="282"/>
      <c r="B44" s="283"/>
      <c r="C44" s="287"/>
      <c r="D44" s="41" t="s">
        <v>338</v>
      </c>
      <c r="E44" s="134">
        <f>IF(VLOOKUP(E4,Profiles!$A$3:$AJ$27,11,FALSE)="Yes",VLOOKUP(E4,Profiles!$A$3:$AJ$27,13,FALSE),"-")</f>
        <v>1</v>
      </c>
      <c r="G44" s="150"/>
      <c r="H44" s="165">
        <f t="shared" si="1"/>
        <v>1</v>
      </c>
      <c r="I44" s="212" t="s">
        <v>510</v>
      </c>
      <c r="J44" s="153"/>
    </row>
    <row r="45" spans="1:11" x14ac:dyDescent="0.25">
      <c r="A45" s="284"/>
      <c r="B45" s="285"/>
      <c r="C45" s="271"/>
      <c r="D45" s="41" t="s">
        <v>337</v>
      </c>
      <c r="E45" s="114">
        <f>IF(VLOOKUP(E4,Profiles!$A$3:$AJ$27,11,FALSE)="Yes",VLOOKUP(E4,Profiles!$A$3:$AJ$27,14,FALSE),"-")</f>
        <v>100</v>
      </c>
      <c r="G45" s="150"/>
      <c r="H45" s="162">
        <f t="shared" si="1"/>
        <v>100</v>
      </c>
      <c r="I45" s="212" t="s">
        <v>511</v>
      </c>
      <c r="J45" s="153"/>
    </row>
    <row r="46" spans="1:11" ht="15" customHeight="1" x14ac:dyDescent="0.25">
      <c r="A46" s="261" t="s">
        <v>329</v>
      </c>
      <c r="B46" s="262"/>
      <c r="C46" s="270" t="s">
        <v>306</v>
      </c>
      <c r="D46" s="41" t="s">
        <v>332</v>
      </c>
      <c r="E46" s="114">
        <f>IF(VLOOKUP(E4,Profiles!$A$3:$AJ$28,27,FALSE)="Yes",VLOOKUP(E4,Profiles!$A$3:$AH$28,28,FALSE),"-")</f>
        <v>60</v>
      </c>
      <c r="G46" s="150"/>
      <c r="H46" s="161">
        <f t="shared" si="1"/>
        <v>60</v>
      </c>
      <c r="I46" s="212" t="s">
        <v>506</v>
      </c>
      <c r="J46" s="153"/>
    </row>
    <row r="47" spans="1:11" ht="30" x14ac:dyDescent="0.25">
      <c r="A47" s="284"/>
      <c r="B47" s="285"/>
      <c r="C47" s="271"/>
      <c r="D47" s="41" t="s">
        <v>333</v>
      </c>
      <c r="E47" s="114">
        <f>IF(VLOOKUP(E4,Profiles!$A$3:$AJ$28,27,FALSE)="Yes",VLOOKUP(E4,Profiles!$A$3:$AJ$27,29,FALSE),"-")</f>
        <v>0.2</v>
      </c>
      <c r="G47" s="150"/>
      <c r="H47" s="161">
        <f t="shared" si="1"/>
        <v>0.2</v>
      </c>
      <c r="I47" s="154" t="s">
        <v>525</v>
      </c>
      <c r="J47" s="155" t="s">
        <v>502</v>
      </c>
    </row>
    <row r="48" spans="1:11" x14ac:dyDescent="0.25">
      <c r="A48" s="254" t="s">
        <v>473</v>
      </c>
      <c r="B48" s="254"/>
      <c r="C48" s="205" t="s">
        <v>278</v>
      </c>
      <c r="D48" s="205" t="s">
        <v>474</v>
      </c>
      <c r="E48" s="135" t="str">
        <f>IF(VLOOKUP(E4,Profiles!$A$3:$AJ$27,15,FALSE)="Yes",VLOOKUP(E4,Profiles!$A$3:$AJ$27,16,FALSE),"-")</f>
        <v>-</v>
      </c>
      <c r="G48" s="150"/>
      <c r="H48" s="161" t="str">
        <f t="shared" si="1"/>
        <v>-</v>
      </c>
      <c r="I48" s="212" t="s">
        <v>503</v>
      </c>
      <c r="J48" s="153"/>
    </row>
    <row r="49" spans="1:79" ht="45" x14ac:dyDescent="0.25">
      <c r="A49" s="254"/>
      <c r="B49" s="254"/>
      <c r="C49" s="205" t="s">
        <v>475</v>
      </c>
      <c r="D49" s="205" t="s">
        <v>475</v>
      </c>
      <c r="E49" s="135" t="str">
        <f>IF(VLOOKUP(E4,Profiles!$A$3:$AJ$27,15,FALSE)="Yes",VLOOKUP(E4,Profiles!$A$3:$AJ$27,18,FALSE),"-")</f>
        <v>-</v>
      </c>
      <c r="G49" s="150"/>
      <c r="H49" s="161" t="str">
        <f t="shared" si="1"/>
        <v>-</v>
      </c>
      <c r="I49" s="39" t="s">
        <v>504</v>
      </c>
      <c r="J49" s="155" t="s">
        <v>505</v>
      </c>
    </row>
    <row r="50" spans="1:79" x14ac:dyDescent="0.25">
      <c r="A50" s="261" t="s">
        <v>532</v>
      </c>
      <c r="B50" s="262"/>
      <c r="C50" s="214"/>
      <c r="D50" s="171" t="s">
        <v>535</v>
      </c>
      <c r="E50" s="135" t="str">
        <f>VLOOKUP(E4,Profiles!$A$3:$AO$27,41,FALSE)</f>
        <v>Yes</v>
      </c>
      <c r="F50" s="173"/>
      <c r="G50" s="176"/>
      <c r="H50" s="161" t="str">
        <f t="shared" si="1"/>
        <v>Yes</v>
      </c>
      <c r="I50" s="177" t="s">
        <v>548</v>
      </c>
      <c r="J50" s="174"/>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c r="AT50" s="212"/>
      <c r="AU50" s="212"/>
      <c r="AV50" s="212"/>
      <c r="AW50" s="212"/>
      <c r="AX50" s="212"/>
      <c r="AY50" s="212"/>
      <c r="AZ50" s="212"/>
      <c r="BA50" s="212"/>
      <c r="BB50" s="212"/>
      <c r="BC50" s="212"/>
      <c r="BD50" s="212"/>
      <c r="BE50" s="212"/>
      <c r="BF50" s="212"/>
      <c r="BG50" s="212"/>
      <c r="BH50" s="212"/>
      <c r="BI50" s="212"/>
      <c r="BJ50" s="212"/>
      <c r="BK50" s="212"/>
      <c r="BL50" s="212"/>
      <c r="BM50" s="212"/>
      <c r="BN50" s="212"/>
      <c r="BO50" s="212"/>
      <c r="BP50" s="212"/>
      <c r="BQ50" s="212"/>
      <c r="BR50" s="212"/>
      <c r="BS50" s="212"/>
      <c r="BT50" s="212"/>
      <c r="BU50" s="212"/>
      <c r="BV50" s="212"/>
      <c r="BW50" s="212"/>
      <c r="BX50" s="212"/>
      <c r="BY50" s="212"/>
      <c r="BZ50" s="212"/>
      <c r="CA50" s="212"/>
    </row>
    <row r="51" spans="1:79" ht="15" customHeight="1" x14ac:dyDescent="0.25">
      <c r="A51" s="263" t="s">
        <v>541</v>
      </c>
      <c r="B51" s="264"/>
      <c r="C51" s="205" t="s">
        <v>531</v>
      </c>
      <c r="D51" s="205" t="s">
        <v>531</v>
      </c>
      <c r="E51" s="135" t="s">
        <v>538</v>
      </c>
      <c r="F51" s="179"/>
      <c r="G51" s="152"/>
      <c r="H51" s="161" t="str">
        <f t="shared" si="1"/>
        <v>n/a</v>
      </c>
      <c r="I51" s="186" t="s">
        <v>547</v>
      </c>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c r="AT51" s="212"/>
      <c r="AU51" s="212"/>
      <c r="AV51" s="212"/>
      <c r="AW51" s="212"/>
      <c r="AX51" s="212"/>
      <c r="AY51" s="212"/>
      <c r="AZ51" s="212"/>
      <c r="BA51" s="212"/>
      <c r="BB51" s="212"/>
      <c r="BC51" s="212"/>
      <c r="BD51" s="212"/>
      <c r="BE51" s="212"/>
      <c r="BF51" s="212"/>
      <c r="BG51" s="212"/>
      <c r="BH51" s="212"/>
      <c r="BI51" s="212"/>
      <c r="BJ51" s="212"/>
      <c r="BK51" s="212"/>
      <c r="BL51" s="212"/>
      <c r="BM51" s="212"/>
      <c r="BN51" s="212"/>
      <c r="BO51" s="212"/>
      <c r="BP51" s="212"/>
      <c r="BQ51" s="212"/>
      <c r="BR51" s="212"/>
      <c r="BS51" s="212"/>
      <c r="BT51" s="212"/>
      <c r="BU51" s="212"/>
      <c r="BV51" s="212"/>
      <c r="BW51" s="212"/>
      <c r="BX51" s="212"/>
      <c r="BY51" s="212"/>
      <c r="BZ51" s="212"/>
      <c r="CA51" s="212"/>
    </row>
    <row r="52" spans="1:79" ht="15" customHeight="1" x14ac:dyDescent="0.25">
      <c r="A52" s="265"/>
      <c r="B52" s="266"/>
      <c r="C52" s="205" t="s">
        <v>540</v>
      </c>
      <c r="D52" s="205" t="s">
        <v>540</v>
      </c>
      <c r="E52" s="135" t="s">
        <v>538</v>
      </c>
      <c r="F52" s="179"/>
      <c r="G52" s="152"/>
      <c r="H52" s="161" t="str">
        <f t="shared" si="1"/>
        <v>n/a</v>
      </c>
      <c r="I52" s="186" t="s">
        <v>546</v>
      </c>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c r="AT52" s="212"/>
      <c r="AU52" s="212"/>
      <c r="AV52" s="212"/>
      <c r="AW52" s="212"/>
      <c r="AX52" s="212"/>
      <c r="AY52" s="212"/>
      <c r="AZ52" s="212"/>
      <c r="BA52" s="212"/>
      <c r="BB52" s="212"/>
      <c r="BC52" s="212"/>
      <c r="BD52" s="212"/>
      <c r="BE52" s="212"/>
      <c r="BF52" s="212"/>
      <c r="BG52" s="212"/>
      <c r="BH52" s="212"/>
      <c r="BI52" s="212"/>
      <c r="BJ52" s="212"/>
      <c r="BK52" s="212"/>
      <c r="BL52" s="212"/>
      <c r="BM52" s="212"/>
      <c r="BN52" s="212"/>
      <c r="BO52" s="212"/>
      <c r="BP52" s="212"/>
      <c r="BQ52" s="212"/>
      <c r="BR52" s="212"/>
      <c r="BS52" s="212"/>
      <c r="BT52" s="212"/>
      <c r="BU52" s="212"/>
      <c r="BV52" s="212"/>
      <c r="BW52" s="212"/>
      <c r="BX52" s="212"/>
      <c r="BY52" s="212"/>
      <c r="BZ52" s="212"/>
      <c r="CA52" s="212"/>
    </row>
    <row r="53" spans="1:79" ht="28.5" x14ac:dyDescent="0.25">
      <c r="A53" s="265"/>
      <c r="B53" s="266"/>
      <c r="C53" s="205" t="s">
        <v>570</v>
      </c>
      <c r="D53" s="205" t="s">
        <v>545</v>
      </c>
      <c r="E53" s="135" t="str">
        <f>VLOOKUP(E4,Profiles!$A$3:$AO$27,39,FALSE)</f>
        <v>Yes</v>
      </c>
      <c r="F53" s="174"/>
      <c r="G53" s="150"/>
      <c r="H53" s="161" t="str">
        <f t="shared" si="1"/>
        <v>Yes</v>
      </c>
      <c r="I53" s="180" t="s">
        <v>543</v>
      </c>
      <c r="J53" s="39" t="s">
        <v>544</v>
      </c>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c r="AT53" s="212"/>
      <c r="AU53" s="212"/>
      <c r="AV53" s="212"/>
      <c r="AW53" s="212"/>
      <c r="AX53" s="212"/>
      <c r="AY53" s="212"/>
      <c r="AZ53" s="212"/>
      <c r="BA53" s="212"/>
      <c r="BB53" s="212"/>
      <c r="BC53" s="212"/>
      <c r="BD53" s="212"/>
      <c r="BE53" s="212"/>
      <c r="BF53" s="212"/>
      <c r="BG53" s="212"/>
      <c r="BH53" s="212"/>
      <c r="BI53" s="212"/>
      <c r="BJ53" s="212"/>
      <c r="BK53" s="212"/>
      <c r="BL53" s="212"/>
      <c r="BM53" s="212"/>
      <c r="BN53" s="212"/>
      <c r="BO53" s="212"/>
      <c r="BP53" s="212"/>
      <c r="BQ53" s="212"/>
      <c r="BR53" s="212"/>
      <c r="BS53" s="212"/>
      <c r="BT53" s="212"/>
      <c r="BU53" s="212"/>
      <c r="BV53" s="212"/>
      <c r="BW53" s="212"/>
      <c r="BX53" s="212"/>
      <c r="BY53" s="212"/>
      <c r="BZ53" s="212"/>
      <c r="CA53" s="212"/>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c r="AW54" s="212"/>
      <c r="AX54" s="212"/>
      <c r="AY54" s="212"/>
      <c r="AZ54" s="212"/>
      <c r="BA54" s="212"/>
      <c r="BB54" s="212"/>
      <c r="BC54" s="212"/>
      <c r="BD54" s="212"/>
      <c r="BE54" s="212"/>
      <c r="BF54" s="212"/>
      <c r="BG54" s="212"/>
      <c r="BH54" s="212"/>
      <c r="BI54" s="212"/>
      <c r="BJ54" s="212"/>
      <c r="BK54" s="212"/>
      <c r="BL54" s="212"/>
      <c r="BM54" s="212"/>
      <c r="BN54" s="212"/>
      <c r="BO54" s="212"/>
      <c r="BP54" s="212"/>
      <c r="BQ54" s="212"/>
      <c r="BR54" s="212"/>
      <c r="BS54" s="212"/>
      <c r="BT54" s="212"/>
      <c r="BU54" s="212"/>
      <c r="BV54" s="212"/>
      <c r="BW54" s="212"/>
      <c r="BX54" s="212"/>
      <c r="BY54" s="212"/>
      <c r="BZ54" s="212"/>
      <c r="CA54" s="212"/>
    </row>
    <row r="55" spans="1:79" ht="30" x14ac:dyDescent="0.25">
      <c r="A55" s="269" t="s">
        <v>530</v>
      </c>
      <c r="B55" s="269"/>
      <c r="C55" s="205" t="s">
        <v>568</v>
      </c>
      <c r="D55" s="41" t="s">
        <v>549</v>
      </c>
      <c r="E55" s="175"/>
      <c r="F55" s="173"/>
      <c r="G55" s="172"/>
      <c r="H55" s="209" t="s">
        <v>274</v>
      </c>
      <c r="I55" s="154" t="s">
        <v>590</v>
      </c>
      <c r="J55" s="181"/>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c r="BW55" s="212"/>
      <c r="BX55" s="212"/>
      <c r="BY55" s="212"/>
      <c r="BZ55" s="212"/>
      <c r="CA55" s="212"/>
    </row>
    <row r="56" spans="1:79" x14ac:dyDescent="0.25">
      <c r="B56" s="49"/>
      <c r="C56" s="49"/>
      <c r="D56" s="212"/>
      <c r="E56" s="212"/>
      <c r="G56" s="212"/>
      <c r="H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c r="AW56" s="212"/>
      <c r="AX56" s="212"/>
      <c r="AY56" s="212"/>
      <c r="AZ56" s="212"/>
      <c r="BA56" s="212"/>
      <c r="BB56" s="212"/>
      <c r="BC56" s="212"/>
      <c r="BD56" s="212"/>
      <c r="BE56" s="212"/>
      <c r="BF56" s="212"/>
      <c r="BG56" s="212"/>
      <c r="BH56" s="212"/>
      <c r="BI56" s="212"/>
      <c r="BJ56" s="212"/>
      <c r="BK56" s="212"/>
      <c r="BL56" s="212"/>
      <c r="BM56" s="212"/>
      <c r="BN56" s="212"/>
      <c r="BO56" s="212"/>
      <c r="BP56" s="212"/>
      <c r="BQ56" s="212"/>
      <c r="BR56" s="212"/>
      <c r="BS56" s="212"/>
      <c r="BT56" s="212"/>
      <c r="BU56" s="212"/>
      <c r="BV56" s="212"/>
      <c r="BW56" s="212"/>
      <c r="BX56" s="212"/>
      <c r="BY56" s="212"/>
      <c r="BZ56" s="212"/>
      <c r="CA56" s="212"/>
    </row>
    <row r="57" spans="1:79" x14ac:dyDescent="0.25">
      <c r="B57" s="49"/>
      <c r="C57" s="49"/>
      <c r="D57" s="212"/>
      <c r="E57" s="212"/>
      <c r="G57" s="212"/>
      <c r="H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c r="AW57" s="212"/>
      <c r="AX57" s="212"/>
      <c r="AY57" s="212"/>
      <c r="AZ57" s="212"/>
      <c r="BA57" s="212"/>
      <c r="BB57" s="212"/>
      <c r="BC57" s="212"/>
      <c r="BD57" s="212"/>
      <c r="BE57" s="212"/>
      <c r="BF57" s="212"/>
      <c r="BG57" s="212"/>
      <c r="BH57" s="212"/>
      <c r="BI57" s="212"/>
      <c r="BJ57" s="212"/>
      <c r="BK57" s="212"/>
      <c r="BL57" s="212"/>
      <c r="BM57" s="212"/>
      <c r="BN57" s="212"/>
      <c r="BO57" s="212"/>
      <c r="BP57" s="212"/>
      <c r="BQ57" s="212"/>
      <c r="BR57" s="212"/>
      <c r="BS57" s="212"/>
      <c r="BT57" s="212"/>
      <c r="BU57" s="212"/>
      <c r="BV57" s="212"/>
      <c r="BW57" s="212"/>
      <c r="BX57" s="212"/>
      <c r="BY57" s="212"/>
      <c r="BZ57" s="212"/>
      <c r="CA57" s="212"/>
    </row>
    <row r="58" spans="1:79" x14ac:dyDescent="0.25">
      <c r="D58" s="212"/>
      <c r="E58" s="212"/>
      <c r="G58" s="212"/>
      <c r="H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c r="AW58" s="212"/>
      <c r="AX58" s="212"/>
      <c r="AY58" s="212"/>
      <c r="AZ58" s="212"/>
      <c r="BA58" s="212"/>
      <c r="BB58" s="212"/>
      <c r="BC58" s="212"/>
      <c r="BD58" s="212"/>
      <c r="BE58" s="212"/>
      <c r="BF58" s="212"/>
      <c r="BG58" s="212"/>
      <c r="BH58" s="212"/>
      <c r="BI58" s="212"/>
      <c r="BJ58" s="212"/>
      <c r="BK58" s="212"/>
      <c r="BL58" s="212"/>
      <c r="BM58" s="212"/>
      <c r="BN58" s="212"/>
      <c r="BO58" s="212"/>
      <c r="BP58" s="212"/>
      <c r="BQ58" s="212"/>
      <c r="BR58" s="212"/>
      <c r="BS58" s="212"/>
      <c r="BT58" s="212"/>
      <c r="BU58" s="212"/>
      <c r="BV58" s="212"/>
      <c r="BW58" s="212"/>
      <c r="BX58" s="212"/>
      <c r="BY58" s="212"/>
      <c r="BZ58" s="212"/>
      <c r="CA58" s="212"/>
    </row>
    <row r="59" spans="1:79" x14ac:dyDescent="0.25">
      <c r="D59" s="212"/>
      <c r="E59" s="212"/>
      <c r="G59" s="212"/>
      <c r="H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c r="AW59" s="212"/>
      <c r="AX59" s="212"/>
      <c r="AY59" s="212"/>
      <c r="AZ59" s="212"/>
      <c r="BA59" s="212"/>
      <c r="BB59" s="212"/>
      <c r="BC59" s="212"/>
      <c r="BD59" s="212"/>
      <c r="BE59" s="212"/>
      <c r="BF59" s="212"/>
      <c r="BG59" s="212"/>
      <c r="BH59" s="212"/>
      <c r="BI59" s="212"/>
      <c r="BJ59" s="212"/>
      <c r="BK59" s="212"/>
      <c r="BL59" s="212"/>
      <c r="BM59" s="212"/>
      <c r="BN59" s="212"/>
      <c r="BO59" s="212"/>
      <c r="BP59" s="212"/>
      <c r="BQ59" s="212"/>
      <c r="BR59" s="212"/>
      <c r="BS59" s="212"/>
      <c r="BT59" s="212"/>
      <c r="BU59" s="212"/>
      <c r="BV59" s="212"/>
      <c r="BW59" s="212"/>
      <c r="BX59" s="212"/>
      <c r="BY59" s="212"/>
      <c r="BZ59" s="212"/>
      <c r="CA59" s="212"/>
    </row>
    <row r="60" spans="1:79" x14ac:dyDescent="0.25">
      <c r="D60" s="212"/>
      <c r="E60" s="212"/>
      <c r="G60" s="212"/>
      <c r="H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c r="BB60" s="212"/>
      <c r="BC60" s="212"/>
      <c r="BD60" s="212"/>
      <c r="BE60" s="212"/>
      <c r="BF60" s="212"/>
      <c r="BG60" s="212"/>
      <c r="BH60" s="212"/>
      <c r="BI60" s="212"/>
      <c r="BJ60" s="212"/>
      <c r="BK60" s="212"/>
      <c r="BL60" s="212"/>
      <c r="BM60" s="212"/>
      <c r="BN60" s="212"/>
      <c r="BO60" s="212"/>
      <c r="BP60" s="212"/>
      <c r="BQ60" s="212"/>
      <c r="BR60" s="212"/>
      <c r="BS60" s="212"/>
      <c r="BT60" s="212"/>
      <c r="BU60" s="212"/>
      <c r="BV60" s="212"/>
      <c r="BW60" s="212"/>
      <c r="BX60" s="212"/>
      <c r="BY60" s="212"/>
      <c r="BZ60" s="212"/>
      <c r="CA60" s="212"/>
    </row>
    <row r="61" spans="1:79" x14ac:dyDescent="0.25">
      <c r="D61" s="212"/>
      <c r="E61" s="212"/>
      <c r="G61" s="212"/>
      <c r="H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c r="BA61" s="212"/>
      <c r="BB61" s="212"/>
      <c r="BC61" s="212"/>
      <c r="BD61" s="212"/>
      <c r="BE61" s="212"/>
      <c r="BF61" s="212"/>
      <c r="BG61" s="212"/>
      <c r="BH61" s="212"/>
      <c r="BI61" s="212"/>
      <c r="BJ61" s="212"/>
      <c r="BK61" s="212"/>
      <c r="BL61" s="212"/>
      <c r="BM61" s="212"/>
      <c r="BN61" s="212"/>
      <c r="BO61" s="212"/>
      <c r="BP61" s="212"/>
      <c r="BQ61" s="212"/>
      <c r="BR61" s="212"/>
      <c r="BS61" s="212"/>
      <c r="BT61" s="212"/>
      <c r="BU61" s="212"/>
      <c r="BV61" s="212"/>
      <c r="BW61" s="212"/>
      <c r="BX61" s="212"/>
      <c r="BY61" s="212"/>
      <c r="BZ61" s="212"/>
      <c r="CA61" s="212"/>
    </row>
    <row r="62" spans="1:79" x14ac:dyDescent="0.25">
      <c r="D62" s="212"/>
      <c r="E62" s="212"/>
      <c r="G62" s="212"/>
      <c r="H62" s="212"/>
      <c r="S62" s="212"/>
      <c r="T62" s="212"/>
      <c r="U62" s="212"/>
      <c r="V62" s="212"/>
      <c r="W62" s="212"/>
      <c r="X62" s="212"/>
      <c r="Y62" s="212"/>
      <c r="Z62" s="212"/>
      <c r="AA62" s="212"/>
      <c r="AB62" s="212"/>
      <c r="AC62" s="212"/>
      <c r="AD62" s="212"/>
      <c r="AE62" s="212"/>
      <c r="AF62" s="212"/>
      <c r="AG62" s="212"/>
      <c r="AH62" s="212"/>
      <c r="AI62" s="212"/>
      <c r="AJ62" s="212"/>
      <c r="AK62" s="212"/>
      <c r="AL62" s="212"/>
      <c r="AM62" s="212"/>
      <c r="AN62" s="212"/>
      <c r="AO62" s="212"/>
      <c r="AP62" s="212"/>
      <c r="AQ62" s="212"/>
      <c r="AR62" s="212"/>
      <c r="AS62" s="212"/>
      <c r="AT62" s="212"/>
      <c r="AU62" s="212"/>
      <c r="AV62" s="212"/>
      <c r="AW62" s="212"/>
      <c r="AX62" s="212"/>
      <c r="AY62" s="212"/>
      <c r="AZ62" s="212"/>
      <c r="BA62" s="212"/>
      <c r="BB62" s="212"/>
      <c r="BC62" s="212"/>
      <c r="BD62" s="212"/>
      <c r="BE62" s="212"/>
      <c r="BF62" s="212"/>
      <c r="BG62" s="212"/>
      <c r="BH62" s="212"/>
      <c r="BI62" s="212"/>
      <c r="BJ62" s="212"/>
      <c r="BK62" s="212"/>
      <c r="BL62" s="212"/>
      <c r="BM62" s="212"/>
      <c r="BN62" s="212"/>
      <c r="BO62" s="212"/>
      <c r="BP62" s="212"/>
      <c r="BQ62" s="212"/>
      <c r="BR62" s="212"/>
      <c r="BS62" s="212"/>
      <c r="BT62" s="212"/>
      <c r="BU62" s="212"/>
      <c r="BV62" s="212"/>
      <c r="BW62" s="212"/>
      <c r="BX62" s="212"/>
      <c r="BY62" s="212"/>
      <c r="BZ62" s="212"/>
      <c r="CA62" s="212"/>
    </row>
    <row r="63" spans="1:79" x14ac:dyDescent="0.25">
      <c r="D63" s="212"/>
      <c r="E63" s="212"/>
      <c r="G63" s="212"/>
      <c r="H63" s="212"/>
      <c r="S63" s="212"/>
      <c r="T63" s="212"/>
      <c r="U63" s="212"/>
      <c r="V63" s="212"/>
      <c r="W63" s="212"/>
      <c r="X63" s="212"/>
      <c r="Y63" s="212"/>
      <c r="Z63" s="212"/>
      <c r="AA63" s="212"/>
      <c r="AB63" s="212"/>
      <c r="AC63" s="212"/>
      <c r="AD63" s="212"/>
      <c r="AE63" s="212"/>
      <c r="AF63" s="212"/>
      <c r="AG63" s="212"/>
      <c r="AH63" s="212"/>
      <c r="AI63" s="212"/>
      <c r="AJ63" s="212"/>
      <c r="AK63" s="212"/>
      <c r="AL63" s="212"/>
      <c r="AM63" s="212"/>
      <c r="AN63" s="212"/>
      <c r="AO63" s="212"/>
      <c r="AP63" s="212"/>
      <c r="AQ63" s="212"/>
      <c r="AR63" s="212"/>
      <c r="AS63" s="212"/>
      <c r="AT63" s="212"/>
      <c r="AU63" s="212"/>
      <c r="AV63" s="212"/>
      <c r="AW63" s="212"/>
      <c r="AX63" s="212"/>
      <c r="AY63" s="212"/>
      <c r="AZ63" s="212"/>
      <c r="BA63" s="212"/>
      <c r="BB63" s="212"/>
      <c r="BC63" s="212"/>
      <c r="BD63" s="212"/>
      <c r="BE63" s="212"/>
      <c r="BF63" s="212"/>
      <c r="BG63" s="212"/>
      <c r="BH63" s="212"/>
      <c r="BI63" s="212"/>
      <c r="BJ63" s="212"/>
      <c r="BK63" s="212"/>
      <c r="BL63" s="212"/>
      <c r="BM63" s="212"/>
      <c r="BN63" s="212"/>
      <c r="BO63" s="212"/>
      <c r="BP63" s="212"/>
      <c r="BQ63" s="212"/>
      <c r="BR63" s="212"/>
      <c r="BS63" s="212"/>
      <c r="BT63" s="212"/>
      <c r="BU63" s="212"/>
      <c r="BV63" s="212"/>
      <c r="BW63" s="212"/>
      <c r="BX63" s="212"/>
      <c r="BY63" s="212"/>
      <c r="BZ63" s="212"/>
      <c r="CA63" s="212"/>
    </row>
    <row r="64" spans="1:79" x14ac:dyDescent="0.25">
      <c r="D64" s="212"/>
      <c r="E64" s="212"/>
      <c r="G64" s="212"/>
      <c r="H64" s="212"/>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12"/>
      <c r="AT64" s="212"/>
      <c r="AU64" s="212"/>
      <c r="AV64" s="212"/>
      <c r="AW64" s="212"/>
      <c r="AX64" s="212"/>
      <c r="AY64" s="212"/>
      <c r="AZ64" s="212"/>
      <c r="BA64" s="212"/>
      <c r="BB64" s="212"/>
      <c r="BC64" s="212"/>
      <c r="BD64" s="212"/>
      <c r="BE64" s="212"/>
      <c r="BF64" s="212"/>
      <c r="BG64" s="212"/>
      <c r="BH64" s="212"/>
      <c r="BI64" s="212"/>
      <c r="BJ64" s="212"/>
      <c r="BK64" s="212"/>
      <c r="BL64" s="212"/>
      <c r="BM64" s="212"/>
      <c r="BN64" s="212"/>
      <c r="BO64" s="212"/>
      <c r="BP64" s="212"/>
      <c r="BQ64" s="212"/>
      <c r="BR64" s="212"/>
      <c r="BS64" s="212"/>
      <c r="BT64" s="212"/>
      <c r="BU64" s="212"/>
      <c r="BV64" s="212"/>
      <c r="BW64" s="212"/>
      <c r="BX64" s="212"/>
      <c r="BY64" s="212"/>
      <c r="BZ64" s="212"/>
      <c r="CA64" s="212"/>
    </row>
    <row r="65" spans="1:43" s="212" customFormat="1" x14ac:dyDescent="0.25">
      <c r="K65" s="133"/>
    </row>
    <row r="66" spans="1:43" s="212" customFormat="1" x14ac:dyDescent="0.25">
      <c r="K66" s="133"/>
    </row>
    <row r="67" spans="1:43" s="212"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12" customFormat="1" x14ac:dyDescent="0.25">
      <c r="A68" s="49"/>
      <c r="B68" s="49"/>
      <c r="C68" s="49"/>
      <c r="D68" s="49"/>
      <c r="E68" s="49"/>
      <c r="F68" s="49"/>
      <c r="G68" s="49"/>
      <c r="H68" s="49"/>
      <c r="I68" s="49"/>
      <c r="J68" s="49"/>
      <c r="K68" s="133"/>
      <c r="L68" s="49"/>
      <c r="M68" s="49"/>
      <c r="N68" s="49"/>
      <c r="O68" s="49"/>
      <c r="P68" s="49"/>
    </row>
    <row r="69" spans="1:43" s="212" customFormat="1" x14ac:dyDescent="0.25">
      <c r="A69" s="49"/>
      <c r="B69" s="49"/>
      <c r="C69" s="49"/>
      <c r="D69" s="49"/>
      <c r="E69" s="49"/>
      <c r="F69" s="49"/>
      <c r="G69" s="49"/>
      <c r="H69" s="49"/>
      <c r="I69" s="49"/>
      <c r="J69" s="49"/>
      <c r="K69" s="133"/>
      <c r="L69" s="49"/>
      <c r="M69" s="49"/>
      <c r="N69" s="49"/>
      <c r="O69" s="49"/>
      <c r="P69" s="49"/>
      <c r="Q69" s="256"/>
      <c r="R69" s="256"/>
      <c r="S69" s="256"/>
    </row>
    <row r="70" spans="1:43" s="212" customFormat="1" x14ac:dyDescent="0.25">
      <c r="A70" s="49"/>
      <c r="B70" s="49"/>
      <c r="C70" s="49"/>
      <c r="D70" s="49"/>
      <c r="E70" s="49"/>
      <c r="F70" s="49"/>
      <c r="G70" s="49"/>
      <c r="H70" s="49"/>
      <c r="I70" s="49"/>
      <c r="J70" s="49"/>
      <c r="K70" s="133"/>
      <c r="L70" s="49"/>
      <c r="M70" s="49"/>
      <c r="N70" s="49"/>
      <c r="O70" s="49"/>
      <c r="P70" s="49"/>
      <c r="Q70" s="256"/>
      <c r="R70" s="256"/>
      <c r="S70" s="256"/>
    </row>
    <row r="71" spans="1:43" s="212" customFormat="1" x14ac:dyDescent="0.25">
      <c r="A71" s="49"/>
      <c r="B71" s="49"/>
      <c r="C71" s="49"/>
      <c r="D71" s="49"/>
      <c r="E71" s="49"/>
      <c r="F71" s="49"/>
      <c r="G71" s="49"/>
      <c r="H71" s="49"/>
      <c r="I71" s="49"/>
      <c r="J71" s="49"/>
      <c r="K71" s="133"/>
      <c r="L71" s="49"/>
      <c r="M71" s="49"/>
      <c r="N71" s="49"/>
      <c r="O71" s="49"/>
      <c r="P71" s="49"/>
    </row>
    <row r="72" spans="1:43" s="212" customFormat="1" x14ac:dyDescent="0.25">
      <c r="A72" s="49"/>
      <c r="B72" s="49"/>
      <c r="C72" s="49"/>
      <c r="D72" s="49"/>
      <c r="E72" s="49"/>
      <c r="F72" s="49"/>
      <c r="G72" s="49"/>
      <c r="H72" s="49"/>
      <c r="I72" s="49"/>
      <c r="J72" s="49"/>
      <c r="K72" s="133"/>
      <c r="L72" s="49"/>
      <c r="M72" s="49"/>
      <c r="N72" s="49"/>
      <c r="O72" s="49"/>
      <c r="P72" s="49"/>
    </row>
    <row r="73" spans="1:43" s="212" customFormat="1" x14ac:dyDescent="0.25">
      <c r="A73" s="49"/>
      <c r="B73" s="49"/>
      <c r="C73" s="49"/>
      <c r="D73" s="49"/>
      <c r="E73" s="49"/>
      <c r="F73" s="49"/>
      <c r="G73" s="49"/>
      <c r="H73" s="49"/>
      <c r="I73" s="49"/>
      <c r="J73" s="49"/>
      <c r="K73" s="133"/>
      <c r="L73" s="49"/>
      <c r="M73" s="49"/>
      <c r="N73" s="49"/>
      <c r="O73" s="49"/>
      <c r="P73" s="49"/>
      <c r="R73" s="256"/>
    </row>
    <row r="74" spans="1:43" s="212" customFormat="1" x14ac:dyDescent="0.25">
      <c r="A74" s="49"/>
      <c r="B74" s="49"/>
      <c r="C74" s="49"/>
      <c r="D74" s="49"/>
      <c r="E74" s="49"/>
      <c r="F74" s="49"/>
      <c r="G74" s="49"/>
      <c r="H74" s="49"/>
      <c r="I74" s="49"/>
      <c r="J74" s="49"/>
      <c r="K74" s="133"/>
      <c r="L74" s="49"/>
      <c r="M74" s="49"/>
      <c r="N74" s="49"/>
      <c r="O74" s="49"/>
      <c r="P74" s="49"/>
      <c r="R74" s="256"/>
    </row>
    <row r="75" spans="1:43" s="212" customFormat="1" x14ac:dyDescent="0.25">
      <c r="A75" s="49"/>
      <c r="B75" s="49"/>
      <c r="C75" s="49"/>
      <c r="D75" s="49"/>
      <c r="E75" s="49"/>
      <c r="F75" s="49"/>
      <c r="G75" s="49"/>
      <c r="H75" s="49"/>
      <c r="I75" s="49"/>
      <c r="J75" s="49"/>
      <c r="K75" s="133"/>
      <c r="L75" s="49"/>
      <c r="M75" s="49"/>
      <c r="N75" s="49"/>
      <c r="O75" s="49"/>
      <c r="P75" s="49"/>
    </row>
    <row r="76" spans="1:43" s="212" customFormat="1" x14ac:dyDescent="0.25">
      <c r="A76" s="49"/>
      <c r="B76" s="49"/>
      <c r="C76" s="49"/>
      <c r="D76" s="49"/>
      <c r="E76" s="49"/>
      <c r="F76" s="49"/>
      <c r="G76" s="49"/>
      <c r="H76" s="49"/>
      <c r="I76" s="49"/>
      <c r="J76" s="49"/>
      <c r="K76" s="133"/>
      <c r="L76" s="49"/>
      <c r="M76" s="49"/>
      <c r="N76" s="49"/>
      <c r="O76" s="49"/>
      <c r="P76" s="49"/>
    </row>
    <row r="77" spans="1:43" s="212" customFormat="1" x14ac:dyDescent="0.25">
      <c r="A77" s="49"/>
      <c r="B77" s="49"/>
      <c r="C77" s="49"/>
      <c r="D77" s="49"/>
      <c r="E77" s="49"/>
      <c r="F77" s="49"/>
      <c r="G77" s="49"/>
      <c r="H77" s="49"/>
      <c r="I77" s="49"/>
      <c r="J77" s="49"/>
      <c r="K77" s="133"/>
      <c r="L77" s="49"/>
      <c r="M77" s="49"/>
      <c r="N77" s="49"/>
      <c r="O77" s="49"/>
      <c r="P77" s="49"/>
    </row>
    <row r="78" spans="1:43" s="212" customFormat="1" x14ac:dyDescent="0.25">
      <c r="K78" s="133"/>
    </row>
    <row r="79" spans="1:43" s="212" customFormat="1" x14ac:dyDescent="0.25">
      <c r="K79" s="133"/>
    </row>
    <row r="80" spans="1:43" s="212" customFormat="1" x14ac:dyDescent="0.25">
      <c r="K80" s="133"/>
    </row>
    <row r="81" spans="11:68" s="212" customFormat="1" x14ac:dyDescent="0.25">
      <c r="K81" s="133"/>
    </row>
    <row r="82" spans="11:68" s="212" customFormat="1" x14ac:dyDescent="0.25">
      <c r="K82" s="133"/>
    </row>
    <row r="83" spans="11:68" s="212" customFormat="1" x14ac:dyDescent="0.25">
      <c r="K83" s="133"/>
    </row>
    <row r="84" spans="11:68" s="212" customFormat="1" x14ac:dyDescent="0.25">
      <c r="K84" s="133"/>
    </row>
    <row r="85" spans="11:68" s="212" customFormat="1" x14ac:dyDescent="0.25">
      <c r="K85" s="133"/>
    </row>
    <row r="86" spans="11:68" s="212" customFormat="1" x14ac:dyDescent="0.25">
      <c r="K86" s="133"/>
    </row>
    <row r="87" spans="11:68" s="212" customFormat="1" x14ac:dyDescent="0.25">
      <c r="K87" s="133"/>
    </row>
    <row r="88" spans="11:68" s="212" customFormat="1" x14ac:dyDescent="0.25">
      <c r="K88" s="133"/>
    </row>
    <row r="89" spans="11:68" s="212" customFormat="1" x14ac:dyDescent="0.25">
      <c r="K89" s="133"/>
      <c r="BJ89" s="256"/>
      <c r="BK89" s="256"/>
      <c r="BL89" s="256"/>
      <c r="BM89" s="256"/>
      <c r="BN89" s="256"/>
      <c r="BO89" s="256"/>
      <c r="BP89" s="256"/>
    </row>
    <row r="90" spans="11:68" s="212" customFormat="1" x14ac:dyDescent="0.25">
      <c r="K90" s="133"/>
      <c r="BJ90" s="256"/>
      <c r="BK90" s="256"/>
      <c r="BL90" s="256"/>
      <c r="BM90" s="256"/>
      <c r="BN90" s="256"/>
      <c r="BO90" s="256"/>
      <c r="BP90" s="256"/>
    </row>
    <row r="91" spans="11:68" s="212" customFormat="1" x14ac:dyDescent="0.25">
      <c r="K91" s="133"/>
    </row>
    <row r="92" spans="11:68" s="212" customFormat="1" x14ac:dyDescent="0.25">
      <c r="K92" s="133"/>
    </row>
    <row r="93" spans="11:68" s="212" customFormat="1" x14ac:dyDescent="0.25">
      <c r="K93" s="133"/>
    </row>
    <row r="94" spans="11:68" s="212" customFormat="1" x14ac:dyDescent="0.25">
      <c r="K94" s="133"/>
    </row>
    <row r="95" spans="11:68" s="212" customFormat="1" x14ac:dyDescent="0.25">
      <c r="K95" s="133"/>
    </row>
    <row r="96" spans="11:68" s="212" customFormat="1" x14ac:dyDescent="0.25">
      <c r="K96" s="133"/>
    </row>
    <row r="97" spans="4:80" x14ac:dyDescent="0.25">
      <c r="D97" s="212"/>
      <c r="E97" s="212"/>
      <c r="G97" s="212"/>
      <c r="H97" s="212"/>
      <c r="S97" s="212"/>
      <c r="T97" s="212"/>
      <c r="U97" s="212"/>
      <c r="V97" s="212"/>
      <c r="W97" s="212"/>
      <c r="X97" s="212"/>
      <c r="Y97" s="212"/>
      <c r="Z97" s="212"/>
      <c r="AA97" s="212"/>
      <c r="AB97" s="212"/>
      <c r="AC97" s="212"/>
      <c r="AD97" s="212"/>
      <c r="AE97" s="212"/>
      <c r="AF97" s="212"/>
      <c r="AG97" s="212"/>
      <c r="AH97" s="212"/>
      <c r="AI97" s="212"/>
      <c r="AJ97" s="212"/>
      <c r="AK97" s="212"/>
      <c r="AL97" s="212"/>
      <c r="AM97" s="212"/>
      <c r="AN97" s="212"/>
      <c r="AO97" s="212"/>
      <c r="AP97" s="212"/>
      <c r="AQ97" s="212"/>
      <c r="AR97" s="212"/>
      <c r="AS97" s="212"/>
      <c r="AT97" s="212"/>
      <c r="AU97" s="212"/>
      <c r="AV97" s="212"/>
      <c r="AW97" s="212"/>
      <c r="AX97" s="212"/>
      <c r="AY97" s="212"/>
      <c r="AZ97" s="212"/>
      <c r="BA97" s="212"/>
      <c r="BB97" s="212"/>
      <c r="BC97" s="212"/>
      <c r="BD97" s="212"/>
      <c r="BE97" s="212"/>
      <c r="BF97" s="212"/>
      <c r="BG97" s="212"/>
      <c r="BH97" s="212"/>
      <c r="BI97" s="212"/>
      <c r="BJ97" s="212"/>
      <c r="BK97" s="212"/>
      <c r="BL97" s="212"/>
      <c r="BM97" s="212"/>
      <c r="BN97" s="212"/>
      <c r="BO97" s="212"/>
      <c r="BP97" s="212"/>
      <c r="BQ97" s="212"/>
      <c r="BR97" s="212"/>
      <c r="BS97" s="212"/>
      <c r="BT97" s="212"/>
      <c r="BU97" s="212"/>
      <c r="BV97" s="212"/>
      <c r="BW97" s="212"/>
      <c r="BX97" s="212"/>
      <c r="BY97" s="212"/>
      <c r="BZ97" s="212"/>
      <c r="CA97" s="212"/>
    </row>
    <row r="98" spans="4:80" x14ac:dyDescent="0.25">
      <c r="D98" s="212"/>
      <c r="E98" s="212"/>
      <c r="G98" s="212"/>
      <c r="H98" s="212"/>
      <c r="S98" s="212"/>
      <c r="T98" s="212"/>
      <c r="U98" s="212"/>
      <c r="V98" s="212"/>
      <c r="W98" s="212"/>
      <c r="X98" s="212"/>
      <c r="Y98" s="212"/>
      <c r="Z98" s="212"/>
      <c r="AA98" s="212"/>
      <c r="AB98" s="212"/>
      <c r="AC98" s="212"/>
      <c r="AD98" s="212"/>
      <c r="AE98" s="212"/>
      <c r="AF98" s="212"/>
      <c r="AG98" s="212"/>
      <c r="AH98" s="212"/>
      <c r="AI98" s="212"/>
      <c r="AJ98" s="212"/>
      <c r="AK98" s="212"/>
      <c r="AL98" s="212"/>
      <c r="AM98" s="212"/>
      <c r="AN98" s="212"/>
      <c r="AO98" s="212"/>
      <c r="AP98" s="212"/>
      <c r="AQ98" s="212"/>
      <c r="AR98" s="212"/>
      <c r="AS98" s="212"/>
      <c r="AT98" s="212"/>
      <c r="AU98" s="212"/>
      <c r="AV98" s="212"/>
      <c r="AW98" s="212"/>
      <c r="AX98" s="212"/>
      <c r="AY98" s="212"/>
      <c r="AZ98" s="212"/>
      <c r="BA98" s="212"/>
      <c r="BB98" s="212"/>
      <c r="BC98" s="212"/>
      <c r="BD98" s="212"/>
      <c r="BE98" s="212"/>
      <c r="BF98" s="212"/>
      <c r="BG98" s="212"/>
      <c r="BH98" s="212"/>
      <c r="BI98" s="212"/>
      <c r="BJ98" s="212"/>
      <c r="BK98" s="212"/>
      <c r="BL98" s="212"/>
      <c r="BM98" s="212"/>
      <c r="BN98" s="212"/>
      <c r="BO98" s="212"/>
      <c r="BP98" s="212"/>
      <c r="BQ98" s="212"/>
      <c r="BR98" s="212"/>
      <c r="BS98" s="212"/>
      <c r="BT98" s="212"/>
      <c r="BU98" s="212"/>
      <c r="BV98" s="212"/>
      <c r="BW98" s="212"/>
      <c r="BX98" s="212"/>
      <c r="BY98" s="212"/>
      <c r="BZ98" s="212"/>
      <c r="CA98" s="212"/>
    </row>
    <row r="99" spans="4:80" x14ac:dyDescent="0.25">
      <c r="D99" s="212"/>
      <c r="E99" s="212"/>
      <c r="G99" s="212"/>
      <c r="H99" s="212"/>
      <c r="S99" s="212"/>
      <c r="T99" s="212"/>
      <c r="U99" s="212"/>
      <c r="V99" s="212"/>
      <c r="W99" s="212"/>
      <c r="X99" s="212"/>
      <c r="Y99" s="212"/>
      <c r="Z99" s="212"/>
      <c r="AA99" s="212"/>
      <c r="AB99" s="212"/>
      <c r="AC99" s="212"/>
      <c r="AD99" s="212"/>
      <c r="AE99" s="212"/>
      <c r="AF99" s="212"/>
      <c r="AG99" s="212"/>
      <c r="AH99" s="212"/>
      <c r="AI99" s="212"/>
      <c r="AJ99" s="212"/>
      <c r="AK99" s="212"/>
      <c r="AL99" s="212"/>
      <c r="AM99" s="212"/>
      <c r="AN99" s="212"/>
      <c r="AO99" s="212"/>
      <c r="AP99" s="212"/>
      <c r="AQ99" s="212"/>
      <c r="AR99" s="212"/>
      <c r="AS99" s="212"/>
      <c r="AT99" s="212"/>
      <c r="AU99" s="212"/>
      <c r="AV99" s="212"/>
      <c r="AW99" s="212"/>
      <c r="AX99" s="212"/>
      <c r="AY99" s="212"/>
      <c r="AZ99" s="212"/>
      <c r="BA99" s="212"/>
      <c r="BB99" s="212"/>
      <c r="BC99" s="212"/>
      <c r="BD99" s="212"/>
      <c r="BE99" s="212"/>
      <c r="BF99" s="212"/>
      <c r="BG99" s="212"/>
      <c r="BH99" s="212"/>
      <c r="BI99" s="212"/>
      <c r="BJ99" s="212"/>
      <c r="BK99" s="212"/>
      <c r="BL99" s="212"/>
      <c r="BM99" s="212"/>
      <c r="BN99" s="212"/>
      <c r="BO99" s="212"/>
      <c r="BP99" s="212"/>
      <c r="BQ99" s="212"/>
      <c r="BR99" s="212"/>
      <c r="BS99" s="212"/>
      <c r="BT99" s="212"/>
      <c r="BU99" s="212"/>
      <c r="BV99" s="212"/>
      <c r="BW99" s="212"/>
      <c r="BX99" s="212"/>
      <c r="BY99" s="212"/>
      <c r="BZ99" s="212"/>
      <c r="CA99" s="212"/>
    </row>
    <row r="100" spans="4:80" x14ac:dyDescent="0.25">
      <c r="D100" s="212"/>
      <c r="I100" s="215"/>
      <c r="J100" s="215"/>
      <c r="S100" s="212"/>
      <c r="BF100" s="215"/>
      <c r="BI100" s="133"/>
      <c r="CB100" s="215"/>
    </row>
  </sheetData>
  <mergeCells count="40">
    <mergeCell ref="Z67:AQ67"/>
    <mergeCell ref="BO89:BO90"/>
    <mergeCell ref="BP89:BP90"/>
    <mergeCell ref="R73:R74"/>
    <mergeCell ref="BJ89:BJ90"/>
    <mergeCell ref="BK89:BK90"/>
    <mergeCell ref="BL89:BL90"/>
    <mergeCell ref="BM89:BM90"/>
    <mergeCell ref="BN89:BN90"/>
    <mergeCell ref="S69:S70"/>
    <mergeCell ref="A46:B47"/>
    <mergeCell ref="C46:C47"/>
    <mergeCell ref="A48:B49"/>
    <mergeCell ref="A50:B50"/>
    <mergeCell ref="A51:B54"/>
    <mergeCell ref="A55:B55"/>
    <mergeCell ref="H67:I67"/>
    <mergeCell ref="K67:L67"/>
    <mergeCell ref="M67:O67"/>
    <mergeCell ref="P67:Q67"/>
    <mergeCell ref="A41:B42"/>
    <mergeCell ref="A43:B45"/>
    <mergeCell ref="C43:C45"/>
    <mergeCell ref="Q69:Q70"/>
    <mergeCell ref="R69:R70"/>
    <mergeCell ref="I23:I24"/>
    <mergeCell ref="J23:J24"/>
    <mergeCell ref="A38:B39"/>
    <mergeCell ref="C38:C39"/>
    <mergeCell ref="A40:B40"/>
    <mergeCell ref="C9:C13"/>
    <mergeCell ref="A15:B16"/>
    <mergeCell ref="A26:B37"/>
    <mergeCell ref="A1:B1"/>
    <mergeCell ref="A2:B2"/>
    <mergeCell ref="A3:B8"/>
    <mergeCell ref="A9:B14"/>
    <mergeCell ref="A17:B22"/>
    <mergeCell ref="A23:B25"/>
    <mergeCell ref="C23:C24"/>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tint="0.39997558519241921"/>
  </sheetPr>
  <dimension ref="A1:CB100"/>
  <sheetViews>
    <sheetView zoomScale="93" zoomScaleNormal="93" workbookViewId="0">
      <selection activeCell="E3" sqref="E3"/>
    </sheetView>
  </sheetViews>
  <sheetFormatPr defaultRowHeight="15" x14ac:dyDescent="0.25"/>
  <cols>
    <col min="1" max="1" width="9.140625" style="212"/>
    <col min="2" max="2" width="17.28515625" style="212" bestFit="1" customWidth="1"/>
    <col min="3" max="3" width="39.42578125" style="212" bestFit="1" customWidth="1"/>
    <col min="4" max="4" width="49" style="215" bestFit="1" customWidth="1"/>
    <col min="5" max="5" width="48.140625" style="215" customWidth="1"/>
    <col min="6" max="6" width="11.42578125" style="212" customWidth="1"/>
    <col min="7" max="7" width="32.140625" style="215" customWidth="1"/>
    <col min="8" max="8" width="36.140625" style="215" bestFit="1" customWidth="1"/>
    <col min="9" max="9" width="85.85546875" style="212" customWidth="1"/>
    <col min="10" max="10" width="73.42578125" style="212" customWidth="1"/>
    <col min="11" max="11" width="28.42578125" style="133" bestFit="1" customWidth="1"/>
    <col min="12" max="14" width="28.42578125" style="212" customWidth="1"/>
    <col min="15" max="16" width="28.42578125" style="212" bestFit="1" customWidth="1"/>
    <col min="17" max="17" width="32.5703125" style="212" bestFit="1" customWidth="1"/>
    <col min="18" max="18" width="29.5703125" style="212" bestFit="1" customWidth="1"/>
    <col min="19" max="19" width="30.140625" style="215" bestFit="1" customWidth="1"/>
    <col min="20" max="20" width="28.140625" style="215" bestFit="1" customWidth="1"/>
    <col min="21" max="21" width="31.28515625" style="215" bestFit="1" customWidth="1"/>
    <col min="22" max="22" width="31.7109375" style="215" bestFit="1" customWidth="1"/>
    <col min="23" max="23" width="28.42578125" style="215" bestFit="1" customWidth="1"/>
    <col min="24" max="24" width="26.140625" style="215" customWidth="1"/>
    <col min="25" max="25" width="21.7109375" style="215" bestFit="1" customWidth="1"/>
    <col min="26" max="29" width="21.7109375" style="215" customWidth="1"/>
    <col min="30" max="31" width="21.7109375" style="215" bestFit="1" customWidth="1"/>
    <col min="32" max="33" width="21.7109375" style="215" customWidth="1"/>
    <col min="34" max="34" width="21.7109375" style="215" bestFit="1" customWidth="1"/>
    <col min="35" max="39" width="21.7109375" style="215" customWidth="1"/>
    <col min="40" max="40" width="21" style="215" customWidth="1"/>
    <col min="41" max="41" width="18.7109375" style="215" customWidth="1"/>
    <col min="42" max="42" width="27.5703125" style="215" bestFit="1" customWidth="1"/>
    <col min="43" max="44" width="30" style="215" bestFit="1" customWidth="1"/>
    <col min="45" max="45" width="28.42578125" style="215" bestFit="1" customWidth="1"/>
    <col min="46" max="47" width="30" style="215" bestFit="1" customWidth="1"/>
    <col min="48" max="48" width="29.42578125" style="215" bestFit="1" customWidth="1"/>
    <col min="49" max="51" width="26.140625" style="215" customWidth="1"/>
    <col min="52" max="52" width="28.85546875" style="215" bestFit="1" customWidth="1"/>
    <col min="53" max="53" width="26.140625" style="215" customWidth="1"/>
    <col min="54" max="54" width="28.85546875" style="215" bestFit="1" customWidth="1"/>
    <col min="55" max="57" width="26.140625" style="215" customWidth="1"/>
    <col min="58" max="60" width="26.140625" style="133" customWidth="1"/>
    <col min="61" max="66" width="26.140625" style="215" customWidth="1"/>
    <col min="67" max="67" width="25.5703125" style="215" bestFit="1" customWidth="1"/>
    <col min="68" max="73" width="26.140625" style="215" customWidth="1"/>
    <col min="74" max="74" width="35.42578125" style="215" customWidth="1"/>
    <col min="75" max="79" width="26.140625" style="215" customWidth="1"/>
    <col min="80" max="80" width="33.5703125" style="212" customWidth="1"/>
    <col min="81" max="81" width="51.140625" style="212" customWidth="1"/>
    <col min="82" max="16384" width="9.140625" style="212"/>
  </cols>
  <sheetData>
    <row r="1" spans="1:79" x14ac:dyDescent="0.25">
      <c r="A1" s="274"/>
      <c r="B1" s="274"/>
      <c r="C1" s="206" t="s">
        <v>480</v>
      </c>
      <c r="D1" s="215" t="s">
        <v>481</v>
      </c>
      <c r="E1" s="215" t="s">
        <v>482</v>
      </c>
      <c r="G1" s="215" t="s">
        <v>335</v>
      </c>
      <c r="H1" s="215" t="s">
        <v>307</v>
      </c>
      <c r="I1" s="149" t="s">
        <v>479</v>
      </c>
      <c r="J1" s="149" t="s">
        <v>526</v>
      </c>
    </row>
    <row r="2" spans="1:79" x14ac:dyDescent="0.25">
      <c r="A2" s="280" t="s">
        <v>255</v>
      </c>
      <c r="B2" s="281"/>
      <c r="D2" s="205" t="s">
        <v>254</v>
      </c>
      <c r="E2" s="151" t="s">
        <v>311</v>
      </c>
      <c r="G2" s="28"/>
      <c r="H2" s="160" t="str">
        <f>IF(G2="",E2,G2)</f>
        <v>First Reponse Unit Italy</v>
      </c>
      <c r="I2" s="212" t="s">
        <v>498</v>
      </c>
      <c r="J2" s="153"/>
      <c r="K2" s="151" t="s">
        <v>339</v>
      </c>
    </row>
    <row r="3" spans="1:79" ht="30" x14ac:dyDescent="0.25">
      <c r="A3" s="263" t="s">
        <v>256</v>
      </c>
      <c r="B3" s="264"/>
      <c r="C3" s="207"/>
      <c r="D3" s="205" t="s">
        <v>308</v>
      </c>
      <c r="E3" s="94" t="s">
        <v>151</v>
      </c>
      <c r="G3" s="28"/>
      <c r="H3" s="160" t="str">
        <f>IF(G3="",E3,G3)</f>
        <v>Video surveillance</v>
      </c>
      <c r="I3" s="39" t="s">
        <v>497</v>
      </c>
      <c r="J3" s="155" t="s">
        <v>523</v>
      </c>
      <c r="K3" s="135" t="s">
        <v>152</v>
      </c>
    </row>
    <row r="4" spans="1:79" ht="16.5" customHeight="1" x14ac:dyDescent="0.25">
      <c r="A4" s="265"/>
      <c r="B4" s="266"/>
      <c r="C4" s="210"/>
      <c r="D4" s="205" t="s">
        <v>264</v>
      </c>
      <c r="E4" s="122" t="str">
        <f>VLOOKUP(E3,'Pick lists'!$A$1:$B$28, 2,FALSE)</f>
        <v xml:space="preserve">Mobile video surveillance </v>
      </c>
      <c r="G4" s="212"/>
      <c r="H4" s="160" t="str">
        <f t="shared" ref="H4:H23" si="0">IF(G4="",E4,G4)</f>
        <v xml:space="preserve">Mobile video surveillance </v>
      </c>
      <c r="I4" s="212" t="s">
        <v>496</v>
      </c>
      <c r="J4" s="153" t="s">
        <v>527</v>
      </c>
      <c r="K4" s="152" t="s">
        <v>340</v>
      </c>
    </row>
    <row r="5" spans="1:79" s="39" customFormat="1" ht="24" customHeight="1" thickBot="1" x14ac:dyDescent="0.3">
      <c r="A5" s="265"/>
      <c r="B5" s="266"/>
      <c r="C5" s="210"/>
      <c r="D5" s="205"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0"/>
      <c r="D6" s="205" t="s">
        <v>331</v>
      </c>
      <c r="E6" s="129"/>
      <c r="G6" s="28"/>
      <c r="H6" s="160" t="str">
        <f>IF(AND(ISBLANK(E6),ISBLANK(G6)),"",IF(ISBLANK(G6),E6,G6))</f>
        <v/>
      </c>
      <c r="I6" s="178" t="s">
        <v>529</v>
      </c>
      <c r="J6" s="155" t="s">
        <v>528</v>
      </c>
    </row>
    <row r="7" spans="1:79" ht="16.5" customHeight="1" thickTop="1" x14ac:dyDescent="0.25">
      <c r="A7" s="265"/>
      <c r="B7" s="266"/>
      <c r="C7" s="210" t="s">
        <v>287</v>
      </c>
      <c r="D7" s="205" t="s">
        <v>287</v>
      </c>
      <c r="E7" s="151">
        <v>200000</v>
      </c>
      <c r="G7" s="28"/>
      <c r="H7" s="160">
        <f>IF(ISBLANK(G7),E7,G7)</f>
        <v>200000</v>
      </c>
      <c r="I7" s="212" t="s">
        <v>494</v>
      </c>
      <c r="J7" s="153"/>
    </row>
    <row r="8" spans="1:79" ht="16.5" customHeight="1" x14ac:dyDescent="0.25">
      <c r="A8" s="267"/>
      <c r="B8" s="268"/>
      <c r="C8" s="208" t="s">
        <v>290</v>
      </c>
      <c r="D8" s="205" t="s">
        <v>290</v>
      </c>
      <c r="E8" s="151"/>
      <c r="G8" s="28"/>
      <c r="H8" s="160">
        <f>IF(AND(G8="",E7&lt;&gt;""),E7,G8)</f>
        <v>200000</v>
      </c>
      <c r="I8" s="212" t="s">
        <v>495</v>
      </c>
      <c r="J8" s="153"/>
    </row>
    <row r="9" spans="1:79" ht="16.5" customHeight="1" x14ac:dyDescent="0.25">
      <c r="A9" s="263" t="s">
        <v>141</v>
      </c>
      <c r="B9" s="264"/>
      <c r="C9" s="269" t="s">
        <v>588</v>
      </c>
      <c r="D9" s="205" t="s">
        <v>0</v>
      </c>
      <c r="E9" s="151" t="s">
        <v>1</v>
      </c>
      <c r="G9" s="28"/>
      <c r="H9" s="160" t="str">
        <f t="shared" si="0"/>
        <v>National</v>
      </c>
      <c r="I9" s="212" t="s">
        <v>492</v>
      </c>
      <c r="J9" s="153"/>
    </row>
    <row r="10" spans="1:79" ht="16.5" customHeight="1" x14ac:dyDescent="0.25">
      <c r="A10" s="265"/>
      <c r="B10" s="266"/>
      <c r="C10" s="269"/>
      <c r="D10" s="205" t="s">
        <v>140</v>
      </c>
      <c r="E10" s="151" t="s">
        <v>160</v>
      </c>
      <c r="G10" s="28"/>
      <c r="H10" s="160" t="str">
        <f t="shared" si="0"/>
        <v>Italy</v>
      </c>
      <c r="I10" s="212" t="s">
        <v>493</v>
      </c>
      <c r="J10" s="153"/>
    </row>
    <row r="11" spans="1:79" ht="16.5" customHeight="1" x14ac:dyDescent="0.25">
      <c r="A11" s="265"/>
      <c r="B11" s="266"/>
      <c r="C11" s="269"/>
      <c r="D11" s="205" t="s">
        <v>276</v>
      </c>
      <c r="E11" s="135" t="s">
        <v>277</v>
      </c>
      <c r="H11" s="160" t="str">
        <f t="shared" si="0"/>
        <v>&lt;geopolygon&gt;</v>
      </c>
      <c r="I11" s="212" t="s">
        <v>491</v>
      </c>
      <c r="J11" s="153"/>
    </row>
    <row r="12" spans="1:79" ht="47.25" customHeight="1" x14ac:dyDescent="0.25">
      <c r="A12" s="265"/>
      <c r="B12" s="266"/>
      <c r="C12" s="269"/>
      <c r="D12" s="205" t="s">
        <v>261</v>
      </c>
      <c r="E12" s="135">
        <f>VLOOKUP(E10,'Pick lists'!M2:N8,2,FALSE)</f>
        <v>277248</v>
      </c>
      <c r="G12" s="28"/>
      <c r="H12" s="160">
        <f t="shared" si="0"/>
        <v>277248</v>
      </c>
      <c r="I12" s="178" t="s">
        <v>490</v>
      </c>
      <c r="J12" s="153"/>
    </row>
    <row r="13" spans="1:79" x14ac:dyDescent="0.25">
      <c r="A13" s="265"/>
      <c r="B13" s="266"/>
      <c r="C13" s="269"/>
      <c r="D13" s="205" t="s">
        <v>269</v>
      </c>
      <c r="E13" s="157">
        <f>ROUND((E7*E17)/E12,2)</f>
        <v>0.14000000000000001</v>
      </c>
      <c r="G13" s="28"/>
      <c r="H13" s="160">
        <f t="shared" si="0"/>
        <v>0.14000000000000001</v>
      </c>
      <c r="I13" s="212" t="s">
        <v>488</v>
      </c>
      <c r="J13" s="153" t="s">
        <v>551</v>
      </c>
    </row>
    <row r="14" spans="1:79" ht="45" x14ac:dyDescent="0.25">
      <c r="A14" s="267"/>
      <c r="B14" s="268"/>
      <c r="C14" s="213" t="s">
        <v>571</v>
      </c>
      <c r="D14" s="205"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05"/>
      <c r="D15" s="205" t="s">
        <v>262</v>
      </c>
      <c r="E15" s="105">
        <v>43581.5</v>
      </c>
      <c r="G15" s="150"/>
      <c r="H15" s="161">
        <f>IF(G15="",E15,G15)</f>
        <v>43581.5</v>
      </c>
      <c r="J15" s="153"/>
    </row>
    <row r="16" spans="1:79" ht="15" customHeight="1" x14ac:dyDescent="0.25">
      <c r="A16" s="267"/>
      <c r="B16" s="268"/>
      <c r="C16" s="205"/>
      <c r="D16" s="205" t="s">
        <v>263</v>
      </c>
      <c r="E16" s="106" t="s">
        <v>274</v>
      </c>
      <c r="G16" s="150"/>
      <c r="H16" s="162" t="str">
        <f>IF(G16="",E16,G16)</f>
        <v>-</v>
      </c>
      <c r="J16" s="153"/>
    </row>
    <row r="17" spans="1:79" ht="15" customHeight="1" x14ac:dyDescent="0.25">
      <c r="A17" s="261" t="s">
        <v>265</v>
      </c>
      <c r="B17" s="262"/>
      <c r="C17" s="42"/>
      <c r="D17" s="205" t="s">
        <v>500</v>
      </c>
      <c r="E17" s="114">
        <f>VLOOKUP(E4,Profiles!$A$3:$AK$27,37,FALSE)</f>
        <v>0.2</v>
      </c>
      <c r="G17" s="150"/>
      <c r="H17" s="162">
        <f>IF(G17="",E17,G17)</f>
        <v>0.2</v>
      </c>
      <c r="I17" s="212" t="s">
        <v>517</v>
      </c>
      <c r="J17" s="153" t="s">
        <v>499</v>
      </c>
    </row>
    <row r="18" spans="1:79" ht="15" customHeight="1" x14ac:dyDescent="0.25">
      <c r="A18" s="282"/>
      <c r="B18" s="283"/>
      <c r="C18" s="198" t="s">
        <v>576</v>
      </c>
      <c r="D18" s="211" t="s">
        <v>266</v>
      </c>
      <c r="E18" s="103">
        <f>VLOOKUP(E4,Profiles!$A$3:$AJ$27,3,FALSE)</f>
        <v>50000000</v>
      </c>
      <c r="G18" s="150"/>
      <c r="H18" s="160">
        <f t="shared" si="0"/>
        <v>50000000</v>
      </c>
      <c r="I18" s="212" t="s">
        <v>518</v>
      </c>
      <c r="J18" s="153"/>
    </row>
    <row r="19" spans="1:79" ht="15.75" x14ac:dyDescent="0.25">
      <c r="A19" s="282"/>
      <c r="B19" s="283"/>
      <c r="C19" s="199" t="s">
        <v>567</v>
      </c>
      <c r="D19" s="211" t="s">
        <v>267</v>
      </c>
      <c r="E19" s="103">
        <f>VLOOKUP(E4,Profiles!$A$3:$AJ$27,4,FALSE)</f>
        <v>25000000</v>
      </c>
      <c r="G19" s="150"/>
      <c r="H19" s="160">
        <f t="shared" si="0"/>
        <v>25000000</v>
      </c>
      <c r="I19" s="212" t="s">
        <v>519</v>
      </c>
      <c r="J19" s="153"/>
    </row>
    <row r="20" spans="1:79" ht="30" x14ac:dyDescent="0.25">
      <c r="A20" s="282"/>
      <c r="B20" s="283"/>
      <c r="C20" s="211" t="s">
        <v>574</v>
      </c>
      <c r="D20" s="205" t="s">
        <v>268</v>
      </c>
      <c r="E20" s="103">
        <f>VLOOKUP(E4,Profiles!$A$3:$AJ$27,5,FALSE)</f>
        <v>10</v>
      </c>
      <c r="G20" s="150"/>
      <c r="H20" s="160">
        <f t="shared" si="0"/>
        <v>10</v>
      </c>
      <c r="I20" s="212" t="s">
        <v>520</v>
      </c>
      <c r="J20" s="155" t="s">
        <v>555</v>
      </c>
    </row>
    <row r="21" spans="1:79" x14ac:dyDescent="0.25">
      <c r="A21" s="282"/>
      <c r="B21" s="283"/>
      <c r="C21" s="194"/>
      <c r="D21" s="211" t="s">
        <v>270</v>
      </c>
      <c r="E21" s="104">
        <f>ROUND((E13*E18)/(1024*1024),0)</f>
        <v>7</v>
      </c>
      <c r="G21" s="150"/>
      <c r="H21" s="163">
        <f t="shared" si="0"/>
        <v>7</v>
      </c>
      <c r="I21" s="212" t="s">
        <v>521</v>
      </c>
      <c r="J21" s="153" t="s">
        <v>556</v>
      </c>
    </row>
    <row r="22" spans="1:79" ht="15.75" x14ac:dyDescent="0.25">
      <c r="A22" s="284"/>
      <c r="B22" s="285"/>
      <c r="C22" s="193"/>
      <c r="D22" s="211" t="s">
        <v>271</v>
      </c>
      <c r="E22" s="104">
        <f>ROUND((E13*E19)/(1024*1024),0)</f>
        <v>3</v>
      </c>
      <c r="G22" s="150"/>
      <c r="H22" s="163">
        <f t="shared" si="0"/>
        <v>3</v>
      </c>
      <c r="I22" s="212"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12"/>
      <c r="H24" s="164"/>
      <c r="I24" s="275"/>
      <c r="J24" s="275"/>
    </row>
    <row r="25" spans="1:79" s="39" customFormat="1" ht="30" x14ac:dyDescent="0.25">
      <c r="A25" s="269"/>
      <c r="B25" s="269"/>
      <c r="C25" s="205" t="s">
        <v>575</v>
      </c>
      <c r="D25" s="205" t="s">
        <v>299</v>
      </c>
      <c r="E25" s="114" t="str">
        <f>VLOOKUP(E4,Profiles!$A$3:$AJ$27,6,FALSE)</f>
        <v>Yes</v>
      </c>
      <c r="G25" s="152"/>
      <c r="H25" s="160" t="str">
        <f t="shared" ref="H25:H54" si="1">IF(G25="",E25,G25)</f>
        <v>Yes</v>
      </c>
      <c r="I25" s="39" t="s">
        <v>512</v>
      </c>
      <c r="J25" s="204" t="s">
        <v>507</v>
      </c>
      <c r="K25" s="133"/>
    </row>
    <row r="26" spans="1:79" x14ac:dyDescent="0.25">
      <c r="A26" s="254" t="s">
        <v>566</v>
      </c>
      <c r="B26" s="254"/>
      <c r="C26" s="211" t="s">
        <v>306</v>
      </c>
      <c r="D26" s="211" t="s">
        <v>306</v>
      </c>
      <c r="E26" s="102" t="str">
        <f>VLOOKUP(E4,Profiles!$A$3:$AJ$28,27,FALSE)</f>
        <v>No</v>
      </c>
      <c r="G26" s="150"/>
      <c r="H26" s="161" t="str">
        <f>IF(G26="",E26,G26)</f>
        <v>No</v>
      </c>
      <c r="I26" s="212" t="s">
        <v>513</v>
      </c>
      <c r="J26" s="153"/>
    </row>
    <row r="27" spans="1:79" x14ac:dyDescent="0.25">
      <c r="A27" s="254"/>
      <c r="B27" s="254"/>
      <c r="C27" s="211" t="s">
        <v>217</v>
      </c>
      <c r="D27" s="211" t="s">
        <v>217</v>
      </c>
      <c r="E27" s="103" t="str">
        <f>VLOOKUP(E4,Profiles!$A$3:$AJ$27,21,FALSE)</f>
        <v>No</v>
      </c>
      <c r="G27" s="150"/>
      <c r="H27" s="161" t="str">
        <f t="shared" si="1"/>
        <v>No</v>
      </c>
      <c r="I27" s="212" t="s">
        <v>514</v>
      </c>
      <c r="J27" s="153"/>
    </row>
    <row r="28" spans="1:79" ht="14.25" customHeight="1" x14ac:dyDescent="0.25">
      <c r="A28" s="254"/>
      <c r="B28" s="254"/>
      <c r="C28" s="205" t="s">
        <v>281</v>
      </c>
      <c r="D28" s="205" t="s">
        <v>281</v>
      </c>
      <c r="E28" s="102" t="s">
        <v>274</v>
      </c>
      <c r="G28" s="150"/>
      <c r="H28" s="161" t="str">
        <f t="shared" si="1"/>
        <v>-</v>
      </c>
      <c r="I28" s="212"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0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12" t="s">
        <v>515</v>
      </c>
      <c r="J30" s="153"/>
    </row>
    <row r="31" spans="1:79" x14ac:dyDescent="0.25">
      <c r="A31" s="254"/>
      <c r="B31" s="254"/>
      <c r="C31" s="205" t="s">
        <v>208</v>
      </c>
      <c r="D31" s="205" t="s">
        <v>208</v>
      </c>
      <c r="E31" s="102" t="s">
        <v>274</v>
      </c>
      <c r="G31" s="150"/>
      <c r="H31" s="161" t="str">
        <f t="shared" si="1"/>
        <v>-</v>
      </c>
      <c r="I31" s="212" t="s">
        <v>552</v>
      </c>
      <c r="J31" s="156" t="s">
        <v>550</v>
      </c>
    </row>
    <row r="32" spans="1:79" x14ac:dyDescent="0.25">
      <c r="A32" s="254"/>
      <c r="B32" s="254"/>
      <c r="C32" s="211" t="s">
        <v>557</v>
      </c>
      <c r="D32" s="205" t="s">
        <v>557</v>
      </c>
      <c r="E32" s="102"/>
      <c r="G32" s="150"/>
      <c r="H32" s="161"/>
      <c r="I32" s="212" t="s">
        <v>552</v>
      </c>
      <c r="J32" s="156" t="s">
        <v>558</v>
      </c>
    </row>
    <row r="33" spans="1:11" ht="15" customHeight="1" x14ac:dyDescent="0.25">
      <c r="A33" s="254"/>
      <c r="B33" s="254"/>
      <c r="C33" s="211" t="s">
        <v>574</v>
      </c>
      <c r="D33" s="205" t="s">
        <v>280</v>
      </c>
      <c r="E33" s="145">
        <f>VLOOKUP(E4,Profiles!$A$3:$AJ$27,35,FALSE)</f>
        <v>6</v>
      </c>
      <c r="G33" s="150"/>
      <c r="H33" s="162">
        <f t="shared" si="1"/>
        <v>6</v>
      </c>
      <c r="I33" s="212" t="s">
        <v>553</v>
      </c>
      <c r="J33" s="153"/>
    </row>
    <row r="34" spans="1:11" ht="15" customHeight="1" x14ac:dyDescent="0.25">
      <c r="A34" s="254"/>
      <c r="B34" s="254"/>
      <c r="C34" s="205" t="s">
        <v>215</v>
      </c>
      <c r="D34" s="205" t="s">
        <v>215</v>
      </c>
      <c r="E34" s="102" t="str">
        <f>VLOOKUP(E4,Profiles!$A$3:$AJ$27,19,FALSE)</f>
        <v>No</v>
      </c>
      <c r="G34" s="150"/>
      <c r="H34" s="161" t="str">
        <f t="shared" si="1"/>
        <v>No</v>
      </c>
      <c r="I34" s="156" t="s">
        <v>486</v>
      </c>
      <c r="J34" s="153"/>
    </row>
    <row r="35" spans="1:11" x14ac:dyDescent="0.25">
      <c r="A35" s="254"/>
      <c r="B35" s="254"/>
      <c r="C35" s="205" t="s">
        <v>279</v>
      </c>
      <c r="D35" s="205" t="s">
        <v>279</v>
      </c>
      <c r="E35" s="102" t="str">
        <f>VLOOKUP(E4,Profiles!$A$3:$AJ$27,11,FALSE)</f>
        <v>No</v>
      </c>
      <c r="G35" s="150"/>
      <c r="H35" s="161" t="str">
        <f t="shared" si="1"/>
        <v>No</v>
      </c>
      <c r="I35" s="156" t="s">
        <v>485</v>
      </c>
      <c r="J35" s="153"/>
    </row>
    <row r="36" spans="1:11" ht="45" x14ac:dyDescent="0.25">
      <c r="A36" s="254"/>
      <c r="B36" s="254"/>
      <c r="C36" s="205" t="s">
        <v>559</v>
      </c>
      <c r="D36" s="205" t="s">
        <v>559</v>
      </c>
      <c r="E36" s="102" t="str">
        <f>VLOOKUP(E4,Profiles!$A$3:$AJ$27,25,FALSE)</f>
        <v>No</v>
      </c>
      <c r="G36" s="150"/>
      <c r="H36" s="161"/>
      <c r="I36" s="204" t="s">
        <v>561</v>
      </c>
      <c r="J36" s="155" t="s">
        <v>564</v>
      </c>
    </row>
    <row r="37" spans="1:11" ht="45" x14ac:dyDescent="0.25">
      <c r="A37" s="254"/>
      <c r="B37" s="254"/>
      <c r="C37" s="205" t="s">
        <v>560</v>
      </c>
      <c r="D37" s="205" t="s">
        <v>560</v>
      </c>
      <c r="E37" s="102" t="str">
        <f>VLOOKUP(E4,Profiles!$A$3:$AJ$27,24,FALSE)</f>
        <v>SSC1</v>
      </c>
      <c r="G37" s="150"/>
      <c r="H37" s="161"/>
      <c r="I37" s="156" t="s">
        <v>562</v>
      </c>
      <c r="J37" s="155" t="s">
        <v>565</v>
      </c>
    </row>
    <row r="38" spans="1:11" ht="30" x14ac:dyDescent="0.25">
      <c r="A38" s="263" t="s">
        <v>582</v>
      </c>
      <c r="B38" s="264"/>
      <c r="C38" s="272" t="s">
        <v>577</v>
      </c>
      <c r="D38" s="205" t="s">
        <v>577</v>
      </c>
      <c r="E38" s="102" t="str">
        <f>VLOOKUP(E4,Profiles!$A$3:$AP$27,42,FALSE)</f>
        <v>Termination in private network</v>
      </c>
      <c r="G38" s="150"/>
      <c r="H38" s="161" t="str">
        <f t="shared" ref="H38:H39" si="2">IF(G38="",E38,G38)</f>
        <v>Termination in private network</v>
      </c>
      <c r="I38" s="204" t="s">
        <v>581</v>
      </c>
      <c r="J38" s="155"/>
    </row>
    <row r="39" spans="1:11" ht="30" x14ac:dyDescent="0.25">
      <c r="A39" s="267"/>
      <c r="B39" s="268"/>
      <c r="C39" s="273"/>
      <c r="D39" s="205" t="s">
        <v>583</v>
      </c>
      <c r="E39" s="102" t="str">
        <f>VLOOKUP(E4,Profiles!$A$3:$AQ$27,43,FALSE)</f>
        <v>VPN</v>
      </c>
      <c r="G39" s="150"/>
      <c r="H39" s="161" t="str">
        <f t="shared" si="2"/>
        <v>VPN</v>
      </c>
      <c r="I39" s="204" t="s">
        <v>581</v>
      </c>
      <c r="J39" s="155"/>
    </row>
    <row r="40" spans="1:11" s="215" customFormat="1" ht="15" customHeight="1" x14ac:dyDescent="0.25">
      <c r="A40" s="286" t="s">
        <v>297</v>
      </c>
      <c r="B40" s="286"/>
      <c r="C40" s="205" t="s">
        <v>575</v>
      </c>
      <c r="D40" s="211" t="s">
        <v>304</v>
      </c>
      <c r="E40" s="99">
        <f>IF(VLOOKUP(E4,Profiles!$A$3:$AH$27,6,FALSE)="Yes",VLOOKUP(E4,Profiles!$A$3:$AH$27,7,FALSE),"-")</f>
        <v>120</v>
      </c>
      <c r="G40" s="150"/>
      <c r="H40" s="160">
        <f t="shared" si="1"/>
        <v>120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12"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12"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12"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12" t="s">
        <v>510</v>
      </c>
      <c r="J44" s="153"/>
    </row>
    <row r="45" spans="1:11" x14ac:dyDescent="0.25">
      <c r="A45" s="284"/>
      <c r="B45" s="285"/>
      <c r="C45" s="271"/>
      <c r="D45" s="41" t="s">
        <v>337</v>
      </c>
      <c r="E45" s="114" t="str">
        <f>IF(VLOOKUP(E4,Profiles!$A$3:$AJ$27,11,FALSE)="Yes",VLOOKUP(E4,Profiles!$A$3:$AJ$27,14,FALSE),"-")</f>
        <v>-</v>
      </c>
      <c r="G45" s="150"/>
      <c r="H45" s="162" t="str">
        <f t="shared" si="1"/>
        <v>-</v>
      </c>
      <c r="I45" s="212"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12"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05" t="s">
        <v>278</v>
      </c>
      <c r="D48" s="205" t="s">
        <v>474</v>
      </c>
      <c r="E48" s="135" t="str">
        <f>IF(VLOOKUP(E4,Profiles!$A$3:$AJ$27,15,FALSE)="Yes",VLOOKUP(E4,Profiles!$A$3:$AJ$27,16,FALSE),"-")</f>
        <v>-</v>
      </c>
      <c r="G48" s="150"/>
      <c r="H48" s="161" t="str">
        <f t="shared" si="1"/>
        <v>-</v>
      </c>
      <c r="I48" s="212" t="s">
        <v>503</v>
      </c>
      <c r="J48" s="153"/>
    </row>
    <row r="49" spans="1:79" ht="45" x14ac:dyDescent="0.25">
      <c r="A49" s="254"/>
      <c r="B49" s="254"/>
      <c r="C49" s="205" t="s">
        <v>475</v>
      </c>
      <c r="D49" s="205" t="s">
        <v>475</v>
      </c>
      <c r="E49" s="135" t="str">
        <f>IF(VLOOKUP(E4,Profiles!$A$3:$AJ$27,15,FALSE)="Yes",VLOOKUP(E4,Profiles!$A$3:$AJ$27,18,FALSE),"-")</f>
        <v>-</v>
      </c>
      <c r="G49" s="150"/>
      <c r="H49" s="161" t="str">
        <f t="shared" si="1"/>
        <v>-</v>
      </c>
      <c r="I49" s="39" t="s">
        <v>504</v>
      </c>
      <c r="J49" s="155" t="s">
        <v>505</v>
      </c>
    </row>
    <row r="50" spans="1:79" x14ac:dyDescent="0.25">
      <c r="A50" s="261" t="s">
        <v>532</v>
      </c>
      <c r="B50" s="262"/>
      <c r="C50" s="214"/>
      <c r="D50" s="171" t="s">
        <v>535</v>
      </c>
      <c r="E50" s="135" t="str">
        <f>VLOOKUP(E4,Profiles!$A$3:$AO$27,41,FALSE)</f>
        <v>Yes</v>
      </c>
      <c r="F50" s="173"/>
      <c r="G50" s="176"/>
      <c r="H50" s="161" t="str">
        <f t="shared" si="1"/>
        <v>Yes</v>
      </c>
      <c r="I50" s="177" t="s">
        <v>548</v>
      </c>
      <c r="J50" s="174"/>
      <c r="S50" s="212"/>
      <c r="T50" s="212"/>
      <c r="U50" s="212"/>
      <c r="V50" s="212"/>
      <c r="W50" s="212"/>
      <c r="X50" s="212"/>
      <c r="Y50" s="212"/>
      <c r="Z50" s="212"/>
      <c r="AA50" s="212"/>
      <c r="AB50" s="212"/>
      <c r="AC50" s="212"/>
      <c r="AD50" s="212"/>
      <c r="AE50" s="212"/>
      <c r="AF50" s="212"/>
      <c r="AG50" s="212"/>
      <c r="AH50" s="212"/>
      <c r="AI50" s="212"/>
      <c r="AJ50" s="212"/>
      <c r="AK50" s="212"/>
      <c r="AL50" s="212"/>
      <c r="AM50" s="212"/>
      <c r="AN50" s="212"/>
      <c r="AO50" s="212"/>
      <c r="AP50" s="212"/>
      <c r="AQ50" s="212"/>
      <c r="AR50" s="212"/>
      <c r="AS50" s="212"/>
      <c r="AT50" s="212"/>
      <c r="AU50" s="212"/>
      <c r="AV50" s="212"/>
      <c r="AW50" s="212"/>
      <c r="AX50" s="212"/>
      <c r="AY50" s="212"/>
      <c r="AZ50" s="212"/>
      <c r="BA50" s="212"/>
      <c r="BB50" s="212"/>
      <c r="BC50" s="212"/>
      <c r="BD50" s="212"/>
      <c r="BE50" s="212"/>
      <c r="BF50" s="212"/>
      <c r="BG50" s="212"/>
      <c r="BH50" s="212"/>
      <c r="BI50" s="212"/>
      <c r="BJ50" s="212"/>
      <c r="BK50" s="212"/>
      <c r="BL50" s="212"/>
      <c r="BM50" s="212"/>
      <c r="BN50" s="212"/>
      <c r="BO50" s="212"/>
      <c r="BP50" s="212"/>
      <c r="BQ50" s="212"/>
      <c r="BR50" s="212"/>
      <c r="BS50" s="212"/>
      <c r="BT50" s="212"/>
      <c r="BU50" s="212"/>
      <c r="BV50" s="212"/>
      <c r="BW50" s="212"/>
      <c r="BX50" s="212"/>
      <c r="BY50" s="212"/>
      <c r="BZ50" s="212"/>
      <c r="CA50" s="212"/>
    </row>
    <row r="51" spans="1:79" ht="15" customHeight="1" x14ac:dyDescent="0.25">
      <c r="A51" s="263" t="s">
        <v>541</v>
      </c>
      <c r="B51" s="264"/>
      <c r="C51" s="205" t="s">
        <v>531</v>
      </c>
      <c r="D51" s="205" t="s">
        <v>531</v>
      </c>
      <c r="E51" s="135" t="s">
        <v>538</v>
      </c>
      <c r="F51" s="179"/>
      <c r="G51" s="152"/>
      <c r="H51" s="161" t="str">
        <f t="shared" si="1"/>
        <v>n/a</v>
      </c>
      <c r="I51" s="186" t="s">
        <v>547</v>
      </c>
      <c r="S51" s="212"/>
      <c r="T51" s="212"/>
      <c r="U51" s="212"/>
      <c r="V51" s="212"/>
      <c r="W51" s="212"/>
      <c r="X51" s="212"/>
      <c r="Y51" s="212"/>
      <c r="Z51" s="212"/>
      <c r="AA51" s="212"/>
      <c r="AB51" s="212"/>
      <c r="AC51" s="212"/>
      <c r="AD51" s="212"/>
      <c r="AE51" s="212"/>
      <c r="AF51" s="212"/>
      <c r="AG51" s="212"/>
      <c r="AH51" s="212"/>
      <c r="AI51" s="212"/>
      <c r="AJ51" s="212"/>
      <c r="AK51" s="212"/>
      <c r="AL51" s="212"/>
      <c r="AM51" s="212"/>
      <c r="AN51" s="212"/>
      <c r="AO51" s="212"/>
      <c r="AP51" s="212"/>
      <c r="AQ51" s="212"/>
      <c r="AR51" s="212"/>
      <c r="AS51" s="212"/>
      <c r="AT51" s="212"/>
      <c r="AU51" s="212"/>
      <c r="AV51" s="212"/>
      <c r="AW51" s="212"/>
      <c r="AX51" s="212"/>
      <c r="AY51" s="212"/>
      <c r="AZ51" s="212"/>
      <c r="BA51" s="212"/>
      <c r="BB51" s="212"/>
      <c r="BC51" s="212"/>
      <c r="BD51" s="212"/>
      <c r="BE51" s="212"/>
      <c r="BF51" s="212"/>
      <c r="BG51" s="212"/>
      <c r="BH51" s="212"/>
      <c r="BI51" s="212"/>
      <c r="BJ51" s="212"/>
      <c r="BK51" s="212"/>
      <c r="BL51" s="212"/>
      <c r="BM51" s="212"/>
      <c r="BN51" s="212"/>
      <c r="BO51" s="212"/>
      <c r="BP51" s="212"/>
      <c r="BQ51" s="212"/>
      <c r="BR51" s="212"/>
      <c r="BS51" s="212"/>
      <c r="BT51" s="212"/>
      <c r="BU51" s="212"/>
      <c r="BV51" s="212"/>
      <c r="BW51" s="212"/>
      <c r="BX51" s="212"/>
      <c r="BY51" s="212"/>
      <c r="BZ51" s="212"/>
      <c r="CA51" s="212"/>
    </row>
    <row r="52" spans="1:79" ht="15" customHeight="1" x14ac:dyDescent="0.25">
      <c r="A52" s="265"/>
      <c r="B52" s="266"/>
      <c r="C52" s="205" t="s">
        <v>540</v>
      </c>
      <c r="D52" s="205" t="s">
        <v>540</v>
      </c>
      <c r="E52" s="135" t="s">
        <v>538</v>
      </c>
      <c r="F52" s="179"/>
      <c r="G52" s="152"/>
      <c r="H52" s="161" t="str">
        <f t="shared" si="1"/>
        <v>n/a</v>
      </c>
      <c r="I52" s="186" t="s">
        <v>546</v>
      </c>
      <c r="S52" s="212"/>
      <c r="T52" s="212"/>
      <c r="U52" s="212"/>
      <c r="V52" s="212"/>
      <c r="W52" s="212"/>
      <c r="X52" s="212"/>
      <c r="Y52" s="212"/>
      <c r="Z52" s="212"/>
      <c r="AA52" s="212"/>
      <c r="AB52" s="212"/>
      <c r="AC52" s="212"/>
      <c r="AD52" s="212"/>
      <c r="AE52" s="212"/>
      <c r="AF52" s="212"/>
      <c r="AG52" s="212"/>
      <c r="AH52" s="212"/>
      <c r="AI52" s="212"/>
      <c r="AJ52" s="212"/>
      <c r="AK52" s="212"/>
      <c r="AL52" s="212"/>
      <c r="AM52" s="212"/>
      <c r="AN52" s="212"/>
      <c r="AO52" s="212"/>
      <c r="AP52" s="212"/>
      <c r="AQ52" s="212"/>
      <c r="AR52" s="212"/>
      <c r="AS52" s="212"/>
      <c r="AT52" s="212"/>
      <c r="AU52" s="212"/>
      <c r="AV52" s="212"/>
      <c r="AW52" s="212"/>
      <c r="AX52" s="212"/>
      <c r="AY52" s="212"/>
      <c r="AZ52" s="212"/>
      <c r="BA52" s="212"/>
      <c r="BB52" s="212"/>
      <c r="BC52" s="212"/>
      <c r="BD52" s="212"/>
      <c r="BE52" s="212"/>
      <c r="BF52" s="212"/>
      <c r="BG52" s="212"/>
      <c r="BH52" s="212"/>
      <c r="BI52" s="212"/>
      <c r="BJ52" s="212"/>
      <c r="BK52" s="212"/>
      <c r="BL52" s="212"/>
      <c r="BM52" s="212"/>
      <c r="BN52" s="212"/>
      <c r="BO52" s="212"/>
      <c r="BP52" s="212"/>
      <c r="BQ52" s="212"/>
      <c r="BR52" s="212"/>
      <c r="BS52" s="212"/>
      <c r="BT52" s="212"/>
      <c r="BU52" s="212"/>
      <c r="BV52" s="212"/>
      <c r="BW52" s="212"/>
      <c r="BX52" s="212"/>
      <c r="BY52" s="212"/>
      <c r="BZ52" s="212"/>
      <c r="CA52" s="212"/>
    </row>
    <row r="53" spans="1:79" ht="28.5" x14ac:dyDescent="0.25">
      <c r="A53" s="265"/>
      <c r="B53" s="266"/>
      <c r="C53" s="205" t="s">
        <v>570</v>
      </c>
      <c r="D53" s="205" t="s">
        <v>545</v>
      </c>
      <c r="E53" s="135" t="str">
        <f>VLOOKUP(E4,Profiles!$A$3:$AO$27,39,FALSE)</f>
        <v>No</v>
      </c>
      <c r="F53" s="174"/>
      <c r="G53" s="150"/>
      <c r="H53" s="161" t="str">
        <f t="shared" si="1"/>
        <v>No</v>
      </c>
      <c r="I53" s="180" t="s">
        <v>543</v>
      </c>
      <c r="J53" s="39" t="s">
        <v>544</v>
      </c>
      <c r="S53" s="212"/>
      <c r="T53" s="212"/>
      <c r="U53" s="212"/>
      <c r="V53" s="212"/>
      <c r="W53" s="212"/>
      <c r="X53" s="212"/>
      <c r="Y53" s="212"/>
      <c r="Z53" s="212"/>
      <c r="AA53" s="212"/>
      <c r="AB53" s="212"/>
      <c r="AC53" s="212"/>
      <c r="AD53" s="212"/>
      <c r="AE53" s="212"/>
      <c r="AF53" s="212"/>
      <c r="AG53" s="212"/>
      <c r="AH53" s="212"/>
      <c r="AI53" s="212"/>
      <c r="AJ53" s="212"/>
      <c r="AK53" s="212"/>
      <c r="AL53" s="212"/>
      <c r="AM53" s="212"/>
      <c r="AN53" s="212"/>
      <c r="AO53" s="212"/>
      <c r="AP53" s="212"/>
      <c r="AQ53" s="212"/>
      <c r="AR53" s="212"/>
      <c r="AS53" s="212"/>
      <c r="AT53" s="212"/>
      <c r="AU53" s="212"/>
      <c r="AV53" s="212"/>
      <c r="AW53" s="212"/>
      <c r="AX53" s="212"/>
      <c r="AY53" s="212"/>
      <c r="AZ53" s="212"/>
      <c r="BA53" s="212"/>
      <c r="BB53" s="212"/>
      <c r="BC53" s="212"/>
      <c r="BD53" s="212"/>
      <c r="BE53" s="212"/>
      <c r="BF53" s="212"/>
      <c r="BG53" s="212"/>
      <c r="BH53" s="212"/>
      <c r="BI53" s="212"/>
      <c r="BJ53" s="212"/>
      <c r="BK53" s="212"/>
      <c r="BL53" s="212"/>
      <c r="BM53" s="212"/>
      <c r="BN53" s="212"/>
      <c r="BO53" s="212"/>
      <c r="BP53" s="212"/>
      <c r="BQ53" s="212"/>
      <c r="BR53" s="212"/>
      <c r="BS53" s="212"/>
      <c r="BT53" s="212"/>
      <c r="BU53" s="212"/>
      <c r="BV53" s="212"/>
      <c r="BW53" s="212"/>
      <c r="BX53" s="212"/>
      <c r="BY53" s="212"/>
      <c r="BZ53" s="212"/>
      <c r="CA53" s="212"/>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12"/>
      <c r="T54" s="212"/>
      <c r="U54" s="212"/>
      <c r="V54" s="212"/>
      <c r="W54" s="212"/>
      <c r="X54" s="212"/>
      <c r="Y54" s="212"/>
      <c r="Z54" s="212"/>
      <c r="AA54" s="212"/>
      <c r="AB54" s="212"/>
      <c r="AC54" s="212"/>
      <c r="AD54" s="212"/>
      <c r="AE54" s="212"/>
      <c r="AF54" s="212"/>
      <c r="AG54" s="212"/>
      <c r="AH54" s="212"/>
      <c r="AI54" s="212"/>
      <c r="AJ54" s="212"/>
      <c r="AK54" s="212"/>
      <c r="AL54" s="212"/>
      <c r="AM54" s="212"/>
      <c r="AN54" s="212"/>
      <c r="AO54" s="212"/>
      <c r="AP54" s="212"/>
      <c r="AQ54" s="212"/>
      <c r="AR54" s="212"/>
      <c r="AS54" s="212"/>
      <c r="AT54" s="212"/>
      <c r="AU54" s="212"/>
      <c r="AV54" s="212"/>
      <c r="AW54" s="212"/>
      <c r="AX54" s="212"/>
      <c r="AY54" s="212"/>
      <c r="AZ54" s="212"/>
      <c r="BA54" s="212"/>
      <c r="BB54" s="212"/>
      <c r="BC54" s="212"/>
      <c r="BD54" s="212"/>
      <c r="BE54" s="212"/>
      <c r="BF54" s="212"/>
      <c r="BG54" s="212"/>
      <c r="BH54" s="212"/>
      <c r="BI54" s="212"/>
      <c r="BJ54" s="212"/>
      <c r="BK54" s="212"/>
      <c r="BL54" s="212"/>
      <c r="BM54" s="212"/>
      <c r="BN54" s="212"/>
      <c r="BO54" s="212"/>
      <c r="BP54" s="212"/>
      <c r="BQ54" s="212"/>
      <c r="BR54" s="212"/>
      <c r="BS54" s="212"/>
      <c r="BT54" s="212"/>
      <c r="BU54" s="212"/>
      <c r="BV54" s="212"/>
      <c r="BW54" s="212"/>
      <c r="BX54" s="212"/>
      <c r="BY54" s="212"/>
      <c r="BZ54" s="212"/>
      <c r="CA54" s="212"/>
    </row>
    <row r="55" spans="1:79" ht="30" x14ac:dyDescent="0.25">
      <c r="A55" s="269" t="s">
        <v>530</v>
      </c>
      <c r="B55" s="269"/>
      <c r="C55" s="205" t="s">
        <v>568</v>
      </c>
      <c r="D55" s="41" t="s">
        <v>549</v>
      </c>
      <c r="E55" s="175"/>
      <c r="F55" s="173"/>
      <c r="G55" s="172"/>
      <c r="H55" s="209" t="s">
        <v>274</v>
      </c>
      <c r="I55" s="154" t="s">
        <v>590</v>
      </c>
      <c r="J55" s="181"/>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c r="BW55" s="212"/>
      <c r="BX55" s="212"/>
      <c r="BY55" s="212"/>
      <c r="BZ55" s="212"/>
      <c r="CA55" s="212"/>
    </row>
    <row r="56" spans="1:79" x14ac:dyDescent="0.25">
      <c r="B56" s="49"/>
      <c r="C56" s="49"/>
      <c r="D56" s="212"/>
      <c r="E56" s="212"/>
      <c r="G56" s="212"/>
      <c r="H56" s="212"/>
      <c r="S56" s="212"/>
      <c r="T56" s="212"/>
      <c r="U56" s="212"/>
      <c r="V56" s="212"/>
      <c r="W56" s="212"/>
      <c r="X56" s="212"/>
      <c r="Y56" s="212"/>
      <c r="Z56" s="212"/>
      <c r="AA56" s="212"/>
      <c r="AB56" s="212"/>
      <c r="AC56" s="212"/>
      <c r="AD56" s="212"/>
      <c r="AE56" s="212"/>
      <c r="AF56" s="212"/>
      <c r="AG56" s="212"/>
      <c r="AH56" s="212"/>
      <c r="AI56" s="212"/>
      <c r="AJ56" s="212"/>
      <c r="AK56" s="212"/>
      <c r="AL56" s="212"/>
      <c r="AM56" s="212"/>
      <c r="AN56" s="212"/>
      <c r="AO56" s="212"/>
      <c r="AP56" s="212"/>
      <c r="AQ56" s="212"/>
      <c r="AR56" s="212"/>
      <c r="AS56" s="212"/>
      <c r="AT56" s="212"/>
      <c r="AU56" s="212"/>
      <c r="AV56" s="212"/>
      <c r="AW56" s="212"/>
      <c r="AX56" s="212"/>
      <c r="AY56" s="212"/>
      <c r="AZ56" s="212"/>
      <c r="BA56" s="212"/>
      <c r="BB56" s="212"/>
      <c r="BC56" s="212"/>
      <c r="BD56" s="212"/>
      <c r="BE56" s="212"/>
      <c r="BF56" s="212"/>
      <c r="BG56" s="212"/>
      <c r="BH56" s="212"/>
      <c r="BI56" s="212"/>
      <c r="BJ56" s="212"/>
      <c r="BK56" s="212"/>
      <c r="BL56" s="212"/>
      <c r="BM56" s="212"/>
      <c r="BN56" s="212"/>
      <c r="BO56" s="212"/>
      <c r="BP56" s="212"/>
      <c r="BQ56" s="212"/>
      <c r="BR56" s="212"/>
      <c r="BS56" s="212"/>
      <c r="BT56" s="212"/>
      <c r="BU56" s="212"/>
      <c r="BV56" s="212"/>
      <c r="BW56" s="212"/>
      <c r="BX56" s="212"/>
      <c r="BY56" s="212"/>
      <c r="BZ56" s="212"/>
      <c r="CA56" s="212"/>
    </row>
    <row r="57" spans="1:79" x14ac:dyDescent="0.25">
      <c r="B57" s="49"/>
      <c r="C57" s="49"/>
      <c r="D57" s="212"/>
      <c r="E57" s="212"/>
      <c r="G57" s="212"/>
      <c r="H57" s="212"/>
      <c r="S57" s="212"/>
      <c r="T57" s="212"/>
      <c r="U57" s="212"/>
      <c r="V57" s="212"/>
      <c r="W57" s="212"/>
      <c r="X57" s="212"/>
      <c r="Y57" s="212"/>
      <c r="Z57" s="212"/>
      <c r="AA57" s="212"/>
      <c r="AB57" s="212"/>
      <c r="AC57" s="212"/>
      <c r="AD57" s="212"/>
      <c r="AE57" s="212"/>
      <c r="AF57" s="212"/>
      <c r="AG57" s="212"/>
      <c r="AH57" s="212"/>
      <c r="AI57" s="212"/>
      <c r="AJ57" s="212"/>
      <c r="AK57" s="212"/>
      <c r="AL57" s="212"/>
      <c r="AM57" s="212"/>
      <c r="AN57" s="212"/>
      <c r="AO57" s="212"/>
      <c r="AP57" s="212"/>
      <c r="AQ57" s="212"/>
      <c r="AR57" s="212"/>
      <c r="AS57" s="212"/>
      <c r="AT57" s="212"/>
      <c r="AU57" s="212"/>
      <c r="AV57" s="212"/>
      <c r="AW57" s="212"/>
      <c r="AX57" s="212"/>
      <c r="AY57" s="212"/>
      <c r="AZ57" s="212"/>
      <c r="BA57" s="212"/>
      <c r="BB57" s="212"/>
      <c r="BC57" s="212"/>
      <c r="BD57" s="212"/>
      <c r="BE57" s="212"/>
      <c r="BF57" s="212"/>
      <c r="BG57" s="212"/>
      <c r="BH57" s="212"/>
      <c r="BI57" s="212"/>
      <c r="BJ57" s="212"/>
      <c r="BK57" s="212"/>
      <c r="BL57" s="212"/>
      <c r="BM57" s="212"/>
      <c r="BN57" s="212"/>
      <c r="BO57" s="212"/>
      <c r="BP57" s="212"/>
      <c r="BQ57" s="212"/>
      <c r="BR57" s="212"/>
      <c r="BS57" s="212"/>
      <c r="BT57" s="212"/>
      <c r="BU57" s="212"/>
      <c r="BV57" s="212"/>
      <c r="BW57" s="212"/>
      <c r="BX57" s="212"/>
      <c r="BY57" s="212"/>
      <c r="BZ57" s="212"/>
      <c r="CA57" s="212"/>
    </row>
    <row r="58" spans="1:79" x14ac:dyDescent="0.25">
      <c r="D58" s="212"/>
      <c r="E58" s="212"/>
      <c r="G58" s="212"/>
      <c r="H58" s="212"/>
      <c r="S58" s="212"/>
      <c r="T58" s="212"/>
      <c r="U58" s="212"/>
      <c r="V58" s="212"/>
      <c r="W58" s="212"/>
      <c r="X58" s="212"/>
      <c r="Y58" s="212"/>
      <c r="Z58" s="212"/>
      <c r="AA58" s="212"/>
      <c r="AB58" s="212"/>
      <c r="AC58" s="212"/>
      <c r="AD58" s="212"/>
      <c r="AE58" s="212"/>
      <c r="AF58" s="212"/>
      <c r="AG58" s="212"/>
      <c r="AH58" s="212"/>
      <c r="AI58" s="212"/>
      <c r="AJ58" s="212"/>
      <c r="AK58" s="212"/>
      <c r="AL58" s="212"/>
      <c r="AM58" s="212"/>
      <c r="AN58" s="212"/>
      <c r="AO58" s="212"/>
      <c r="AP58" s="212"/>
      <c r="AQ58" s="212"/>
      <c r="AR58" s="212"/>
      <c r="AS58" s="212"/>
      <c r="AT58" s="212"/>
      <c r="AU58" s="212"/>
      <c r="AV58" s="212"/>
      <c r="AW58" s="212"/>
      <c r="AX58" s="212"/>
      <c r="AY58" s="212"/>
      <c r="AZ58" s="212"/>
      <c r="BA58" s="212"/>
      <c r="BB58" s="212"/>
      <c r="BC58" s="212"/>
      <c r="BD58" s="212"/>
      <c r="BE58" s="212"/>
      <c r="BF58" s="212"/>
      <c r="BG58" s="212"/>
      <c r="BH58" s="212"/>
      <c r="BI58" s="212"/>
      <c r="BJ58" s="212"/>
      <c r="BK58" s="212"/>
      <c r="BL58" s="212"/>
      <c r="BM58" s="212"/>
      <c r="BN58" s="212"/>
      <c r="BO58" s="212"/>
      <c r="BP58" s="212"/>
      <c r="BQ58" s="212"/>
      <c r="BR58" s="212"/>
      <c r="BS58" s="212"/>
      <c r="BT58" s="212"/>
      <c r="BU58" s="212"/>
      <c r="BV58" s="212"/>
      <c r="BW58" s="212"/>
      <c r="BX58" s="212"/>
      <c r="BY58" s="212"/>
      <c r="BZ58" s="212"/>
      <c r="CA58" s="212"/>
    </row>
    <row r="59" spans="1:79" x14ac:dyDescent="0.25">
      <c r="D59" s="212"/>
      <c r="E59" s="212"/>
      <c r="G59" s="212"/>
      <c r="H59" s="212"/>
      <c r="S59" s="212"/>
      <c r="T59" s="212"/>
      <c r="U59" s="212"/>
      <c r="V59" s="212"/>
      <c r="W59" s="212"/>
      <c r="X59" s="212"/>
      <c r="Y59" s="212"/>
      <c r="Z59" s="212"/>
      <c r="AA59" s="212"/>
      <c r="AB59" s="212"/>
      <c r="AC59" s="212"/>
      <c r="AD59" s="212"/>
      <c r="AE59" s="212"/>
      <c r="AF59" s="212"/>
      <c r="AG59" s="212"/>
      <c r="AH59" s="212"/>
      <c r="AI59" s="212"/>
      <c r="AJ59" s="212"/>
      <c r="AK59" s="212"/>
      <c r="AL59" s="212"/>
      <c r="AM59" s="212"/>
      <c r="AN59" s="212"/>
      <c r="AO59" s="212"/>
      <c r="AP59" s="212"/>
      <c r="AQ59" s="212"/>
      <c r="AR59" s="212"/>
      <c r="AS59" s="212"/>
      <c r="AT59" s="212"/>
      <c r="AU59" s="212"/>
      <c r="AV59" s="212"/>
      <c r="AW59" s="212"/>
      <c r="AX59" s="212"/>
      <c r="AY59" s="212"/>
      <c r="AZ59" s="212"/>
      <c r="BA59" s="212"/>
      <c r="BB59" s="212"/>
      <c r="BC59" s="212"/>
      <c r="BD59" s="212"/>
      <c r="BE59" s="212"/>
      <c r="BF59" s="212"/>
      <c r="BG59" s="212"/>
      <c r="BH59" s="212"/>
      <c r="BI59" s="212"/>
      <c r="BJ59" s="212"/>
      <c r="BK59" s="212"/>
      <c r="BL59" s="212"/>
      <c r="BM59" s="212"/>
      <c r="BN59" s="212"/>
      <c r="BO59" s="212"/>
      <c r="BP59" s="212"/>
      <c r="BQ59" s="212"/>
      <c r="BR59" s="212"/>
      <c r="BS59" s="212"/>
      <c r="BT59" s="212"/>
      <c r="BU59" s="212"/>
      <c r="BV59" s="212"/>
      <c r="BW59" s="212"/>
      <c r="BX59" s="212"/>
      <c r="BY59" s="212"/>
      <c r="BZ59" s="212"/>
      <c r="CA59" s="212"/>
    </row>
    <row r="60" spans="1:79" x14ac:dyDescent="0.25">
      <c r="D60" s="212"/>
      <c r="E60" s="212"/>
      <c r="G60" s="212"/>
      <c r="H60" s="212"/>
      <c r="S60" s="212"/>
      <c r="T60" s="212"/>
      <c r="U60" s="212"/>
      <c r="V60" s="212"/>
      <c r="W60" s="212"/>
      <c r="X60" s="212"/>
      <c r="Y60" s="212"/>
      <c r="Z60" s="212"/>
      <c r="AA60" s="212"/>
      <c r="AB60" s="212"/>
      <c r="AC60" s="212"/>
      <c r="AD60" s="212"/>
      <c r="AE60" s="212"/>
      <c r="AF60" s="212"/>
      <c r="AG60" s="212"/>
      <c r="AH60" s="212"/>
      <c r="AI60" s="212"/>
      <c r="AJ60" s="212"/>
      <c r="AK60" s="212"/>
      <c r="AL60" s="212"/>
      <c r="AM60" s="212"/>
      <c r="AN60" s="212"/>
      <c r="AO60" s="212"/>
      <c r="AP60" s="212"/>
      <c r="AQ60" s="212"/>
      <c r="AR60" s="212"/>
      <c r="AS60" s="212"/>
      <c r="AT60" s="212"/>
      <c r="AU60" s="212"/>
      <c r="AV60" s="212"/>
      <c r="AW60" s="212"/>
      <c r="AX60" s="212"/>
      <c r="AY60" s="212"/>
      <c r="AZ60" s="212"/>
      <c r="BA60" s="212"/>
      <c r="BB60" s="212"/>
      <c r="BC60" s="212"/>
      <c r="BD60" s="212"/>
      <c r="BE60" s="212"/>
      <c r="BF60" s="212"/>
      <c r="BG60" s="212"/>
      <c r="BH60" s="212"/>
      <c r="BI60" s="212"/>
      <c r="BJ60" s="212"/>
      <c r="BK60" s="212"/>
      <c r="BL60" s="212"/>
      <c r="BM60" s="212"/>
      <c r="BN60" s="212"/>
      <c r="BO60" s="212"/>
      <c r="BP60" s="212"/>
      <c r="BQ60" s="212"/>
      <c r="BR60" s="212"/>
      <c r="BS60" s="212"/>
      <c r="BT60" s="212"/>
      <c r="BU60" s="212"/>
      <c r="BV60" s="212"/>
      <c r="BW60" s="212"/>
      <c r="BX60" s="212"/>
      <c r="BY60" s="212"/>
      <c r="BZ60" s="212"/>
      <c r="CA60" s="212"/>
    </row>
    <row r="61" spans="1:79" x14ac:dyDescent="0.25">
      <c r="D61" s="212"/>
      <c r="E61" s="212"/>
      <c r="G61" s="212"/>
      <c r="H61" s="212"/>
      <c r="S61" s="212"/>
      <c r="T61" s="212"/>
      <c r="U61" s="212"/>
      <c r="V61" s="212"/>
      <c r="W61" s="212"/>
      <c r="X61" s="212"/>
      <c r="Y61" s="212"/>
      <c r="Z61" s="212"/>
      <c r="AA61" s="212"/>
      <c r="AB61" s="212"/>
      <c r="AC61" s="212"/>
      <c r="AD61" s="212"/>
      <c r="AE61" s="212"/>
      <c r="AF61" s="212"/>
      <c r="AG61" s="212"/>
      <c r="AH61" s="212"/>
      <c r="AI61" s="212"/>
      <c r="AJ61" s="212"/>
      <c r="AK61" s="212"/>
      <c r="AL61" s="212"/>
      <c r="AM61" s="212"/>
      <c r="AN61" s="212"/>
      <c r="AO61" s="212"/>
      <c r="AP61" s="212"/>
      <c r="AQ61" s="212"/>
      <c r="AR61" s="212"/>
      <c r="AS61" s="212"/>
      <c r="AT61" s="212"/>
      <c r="AU61" s="212"/>
      <c r="AV61" s="212"/>
      <c r="AW61" s="212"/>
      <c r="AX61" s="212"/>
      <c r="AY61" s="212"/>
      <c r="AZ61" s="212"/>
      <c r="BA61" s="212"/>
      <c r="BB61" s="212"/>
      <c r="BC61" s="212"/>
      <c r="BD61" s="212"/>
      <c r="BE61" s="212"/>
      <c r="BF61" s="212"/>
      <c r="BG61" s="212"/>
      <c r="BH61" s="212"/>
      <c r="BI61" s="212"/>
      <c r="BJ61" s="212"/>
      <c r="BK61" s="212"/>
      <c r="BL61" s="212"/>
      <c r="BM61" s="212"/>
      <c r="BN61" s="212"/>
      <c r="BO61" s="212"/>
      <c r="BP61" s="212"/>
      <c r="BQ61" s="212"/>
      <c r="BR61" s="212"/>
      <c r="BS61" s="212"/>
      <c r="BT61" s="212"/>
      <c r="BU61" s="212"/>
      <c r="BV61" s="212"/>
      <c r="BW61" s="212"/>
      <c r="BX61" s="212"/>
      <c r="BY61" s="212"/>
      <c r="BZ61" s="212"/>
      <c r="CA61" s="212"/>
    </row>
    <row r="62" spans="1:79" x14ac:dyDescent="0.25">
      <c r="D62" s="212"/>
      <c r="E62" s="212"/>
      <c r="G62" s="212"/>
      <c r="H62" s="212"/>
      <c r="S62" s="212"/>
      <c r="T62" s="212"/>
      <c r="U62" s="212"/>
      <c r="V62" s="212"/>
      <c r="W62" s="212"/>
      <c r="X62" s="212"/>
      <c r="Y62" s="212"/>
      <c r="Z62" s="212"/>
      <c r="AA62" s="212"/>
      <c r="AB62" s="212"/>
      <c r="AC62" s="212"/>
      <c r="AD62" s="212"/>
      <c r="AE62" s="212"/>
      <c r="AF62" s="212"/>
      <c r="AG62" s="212"/>
      <c r="AH62" s="212"/>
      <c r="AI62" s="212"/>
      <c r="AJ62" s="212"/>
      <c r="AK62" s="212"/>
      <c r="AL62" s="212"/>
      <c r="AM62" s="212"/>
      <c r="AN62" s="212"/>
      <c r="AO62" s="212"/>
      <c r="AP62" s="212"/>
      <c r="AQ62" s="212"/>
      <c r="AR62" s="212"/>
      <c r="AS62" s="212"/>
      <c r="AT62" s="212"/>
      <c r="AU62" s="212"/>
      <c r="AV62" s="212"/>
      <c r="AW62" s="212"/>
      <c r="AX62" s="212"/>
      <c r="AY62" s="212"/>
      <c r="AZ62" s="212"/>
      <c r="BA62" s="212"/>
      <c r="BB62" s="212"/>
      <c r="BC62" s="212"/>
      <c r="BD62" s="212"/>
      <c r="BE62" s="212"/>
      <c r="BF62" s="212"/>
      <c r="BG62" s="212"/>
      <c r="BH62" s="212"/>
      <c r="BI62" s="212"/>
      <c r="BJ62" s="212"/>
      <c r="BK62" s="212"/>
      <c r="BL62" s="212"/>
      <c r="BM62" s="212"/>
      <c r="BN62" s="212"/>
      <c r="BO62" s="212"/>
      <c r="BP62" s="212"/>
      <c r="BQ62" s="212"/>
      <c r="BR62" s="212"/>
      <c r="BS62" s="212"/>
      <c r="BT62" s="212"/>
      <c r="BU62" s="212"/>
      <c r="BV62" s="212"/>
      <c r="BW62" s="212"/>
      <c r="BX62" s="212"/>
      <c r="BY62" s="212"/>
      <c r="BZ62" s="212"/>
      <c r="CA62" s="212"/>
    </row>
    <row r="63" spans="1:79" x14ac:dyDescent="0.25">
      <c r="D63" s="212"/>
      <c r="E63" s="212"/>
      <c r="G63" s="212"/>
      <c r="H63" s="212"/>
      <c r="S63" s="212"/>
      <c r="T63" s="212"/>
      <c r="U63" s="212"/>
      <c r="V63" s="212"/>
      <c r="W63" s="212"/>
      <c r="X63" s="212"/>
      <c r="Y63" s="212"/>
      <c r="Z63" s="212"/>
      <c r="AA63" s="212"/>
      <c r="AB63" s="212"/>
      <c r="AC63" s="212"/>
      <c r="AD63" s="212"/>
      <c r="AE63" s="212"/>
      <c r="AF63" s="212"/>
      <c r="AG63" s="212"/>
      <c r="AH63" s="212"/>
      <c r="AI63" s="212"/>
      <c r="AJ63" s="212"/>
      <c r="AK63" s="212"/>
      <c r="AL63" s="212"/>
      <c r="AM63" s="212"/>
      <c r="AN63" s="212"/>
      <c r="AO63" s="212"/>
      <c r="AP63" s="212"/>
      <c r="AQ63" s="212"/>
      <c r="AR63" s="212"/>
      <c r="AS63" s="212"/>
      <c r="AT63" s="212"/>
      <c r="AU63" s="212"/>
      <c r="AV63" s="212"/>
      <c r="AW63" s="212"/>
      <c r="AX63" s="212"/>
      <c r="AY63" s="212"/>
      <c r="AZ63" s="212"/>
      <c r="BA63" s="212"/>
      <c r="BB63" s="212"/>
      <c r="BC63" s="212"/>
      <c r="BD63" s="212"/>
      <c r="BE63" s="212"/>
      <c r="BF63" s="212"/>
      <c r="BG63" s="212"/>
      <c r="BH63" s="212"/>
      <c r="BI63" s="212"/>
      <c r="BJ63" s="212"/>
      <c r="BK63" s="212"/>
      <c r="BL63" s="212"/>
      <c r="BM63" s="212"/>
      <c r="BN63" s="212"/>
      <c r="BO63" s="212"/>
      <c r="BP63" s="212"/>
      <c r="BQ63" s="212"/>
      <c r="BR63" s="212"/>
      <c r="BS63" s="212"/>
      <c r="BT63" s="212"/>
      <c r="BU63" s="212"/>
      <c r="BV63" s="212"/>
      <c r="BW63" s="212"/>
      <c r="BX63" s="212"/>
      <c r="BY63" s="212"/>
      <c r="BZ63" s="212"/>
      <c r="CA63" s="212"/>
    </row>
    <row r="64" spans="1:79" x14ac:dyDescent="0.25">
      <c r="D64" s="212"/>
      <c r="E64" s="212"/>
      <c r="G64" s="212"/>
      <c r="H64" s="212"/>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12"/>
      <c r="AT64" s="212"/>
      <c r="AU64" s="212"/>
      <c r="AV64" s="212"/>
      <c r="AW64" s="212"/>
      <c r="AX64" s="212"/>
      <c r="AY64" s="212"/>
      <c r="AZ64" s="212"/>
      <c r="BA64" s="212"/>
      <c r="BB64" s="212"/>
      <c r="BC64" s="212"/>
      <c r="BD64" s="212"/>
      <c r="BE64" s="212"/>
      <c r="BF64" s="212"/>
      <c r="BG64" s="212"/>
      <c r="BH64" s="212"/>
      <c r="BI64" s="212"/>
      <c r="BJ64" s="212"/>
      <c r="BK64" s="212"/>
      <c r="BL64" s="212"/>
      <c r="BM64" s="212"/>
      <c r="BN64" s="212"/>
      <c r="BO64" s="212"/>
      <c r="BP64" s="212"/>
      <c r="BQ64" s="212"/>
      <c r="BR64" s="212"/>
      <c r="BS64" s="212"/>
      <c r="BT64" s="212"/>
      <c r="BU64" s="212"/>
      <c r="BV64" s="212"/>
      <c r="BW64" s="212"/>
      <c r="BX64" s="212"/>
      <c r="BY64" s="212"/>
      <c r="BZ64" s="212"/>
      <c r="CA64" s="212"/>
    </row>
    <row r="65" spans="1:43" s="212" customFormat="1" x14ac:dyDescent="0.25">
      <c r="K65" s="133"/>
    </row>
    <row r="66" spans="1:43" s="212" customFormat="1" x14ac:dyDescent="0.25">
      <c r="K66" s="133"/>
    </row>
    <row r="67" spans="1:43" s="212"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12" customFormat="1" x14ac:dyDescent="0.25">
      <c r="A68" s="49"/>
      <c r="B68" s="49"/>
      <c r="C68" s="49"/>
      <c r="D68" s="49"/>
      <c r="E68" s="49"/>
      <c r="F68" s="49"/>
      <c r="G68" s="49"/>
      <c r="H68" s="49"/>
      <c r="I68" s="49"/>
      <c r="J68" s="49"/>
      <c r="K68" s="133"/>
      <c r="L68" s="49"/>
      <c r="M68" s="49"/>
      <c r="N68" s="49"/>
      <c r="O68" s="49"/>
      <c r="P68" s="49"/>
    </row>
    <row r="69" spans="1:43" s="212" customFormat="1" x14ac:dyDescent="0.25">
      <c r="A69" s="49"/>
      <c r="B69" s="49"/>
      <c r="C69" s="49"/>
      <c r="D69" s="49"/>
      <c r="E69" s="49"/>
      <c r="F69" s="49"/>
      <c r="G69" s="49"/>
      <c r="H69" s="49"/>
      <c r="I69" s="49"/>
      <c r="J69" s="49"/>
      <c r="K69" s="133"/>
      <c r="L69" s="49"/>
      <c r="M69" s="49"/>
      <c r="N69" s="49"/>
      <c r="O69" s="49"/>
      <c r="P69" s="49"/>
      <c r="Q69" s="256"/>
      <c r="R69" s="256"/>
      <c r="S69" s="256"/>
    </row>
    <row r="70" spans="1:43" s="212" customFormat="1" x14ac:dyDescent="0.25">
      <c r="A70" s="49"/>
      <c r="B70" s="49"/>
      <c r="C70" s="49"/>
      <c r="D70" s="49"/>
      <c r="E70" s="49"/>
      <c r="F70" s="49"/>
      <c r="G70" s="49"/>
      <c r="H70" s="49"/>
      <c r="I70" s="49"/>
      <c r="J70" s="49"/>
      <c r="K70" s="133"/>
      <c r="L70" s="49"/>
      <c r="M70" s="49"/>
      <c r="N70" s="49"/>
      <c r="O70" s="49"/>
      <c r="P70" s="49"/>
      <c r="Q70" s="256"/>
      <c r="R70" s="256"/>
      <c r="S70" s="256"/>
    </row>
    <row r="71" spans="1:43" s="212" customFormat="1" x14ac:dyDescent="0.25">
      <c r="A71" s="49"/>
      <c r="B71" s="49"/>
      <c r="C71" s="49"/>
      <c r="D71" s="49"/>
      <c r="E71" s="49"/>
      <c r="F71" s="49"/>
      <c r="G71" s="49"/>
      <c r="H71" s="49"/>
      <c r="I71" s="49"/>
      <c r="J71" s="49"/>
      <c r="K71" s="133"/>
      <c r="L71" s="49"/>
      <c r="M71" s="49"/>
      <c r="N71" s="49"/>
      <c r="O71" s="49"/>
      <c r="P71" s="49"/>
    </row>
    <row r="72" spans="1:43" s="212" customFormat="1" x14ac:dyDescent="0.25">
      <c r="A72" s="49"/>
      <c r="B72" s="49"/>
      <c r="C72" s="49"/>
      <c r="D72" s="49"/>
      <c r="E72" s="49"/>
      <c r="F72" s="49"/>
      <c r="G72" s="49"/>
      <c r="H72" s="49"/>
      <c r="I72" s="49"/>
      <c r="J72" s="49"/>
      <c r="K72" s="133"/>
      <c r="L72" s="49"/>
      <c r="M72" s="49"/>
      <c r="N72" s="49"/>
      <c r="O72" s="49"/>
      <c r="P72" s="49"/>
    </row>
    <row r="73" spans="1:43" s="212" customFormat="1" x14ac:dyDescent="0.25">
      <c r="A73" s="49"/>
      <c r="B73" s="49"/>
      <c r="C73" s="49"/>
      <c r="D73" s="49"/>
      <c r="E73" s="49"/>
      <c r="F73" s="49"/>
      <c r="G73" s="49"/>
      <c r="H73" s="49"/>
      <c r="I73" s="49"/>
      <c r="J73" s="49"/>
      <c r="K73" s="133"/>
      <c r="L73" s="49"/>
      <c r="M73" s="49"/>
      <c r="N73" s="49"/>
      <c r="O73" s="49"/>
      <c r="P73" s="49"/>
      <c r="R73" s="256"/>
    </row>
    <row r="74" spans="1:43" s="212" customFormat="1" x14ac:dyDescent="0.25">
      <c r="A74" s="49"/>
      <c r="B74" s="49"/>
      <c r="C74" s="49"/>
      <c r="D74" s="49"/>
      <c r="E74" s="49"/>
      <c r="F74" s="49"/>
      <c r="G74" s="49"/>
      <c r="H74" s="49"/>
      <c r="I74" s="49"/>
      <c r="J74" s="49"/>
      <c r="K74" s="133"/>
      <c r="L74" s="49"/>
      <c r="M74" s="49"/>
      <c r="N74" s="49"/>
      <c r="O74" s="49"/>
      <c r="P74" s="49"/>
      <c r="R74" s="256"/>
    </row>
    <row r="75" spans="1:43" s="212" customFormat="1" x14ac:dyDescent="0.25">
      <c r="A75" s="49"/>
      <c r="B75" s="49"/>
      <c r="C75" s="49"/>
      <c r="D75" s="49"/>
      <c r="E75" s="49"/>
      <c r="F75" s="49"/>
      <c r="G75" s="49"/>
      <c r="H75" s="49"/>
      <c r="I75" s="49"/>
      <c r="J75" s="49"/>
      <c r="K75" s="133"/>
      <c r="L75" s="49"/>
      <c r="M75" s="49"/>
      <c r="N75" s="49"/>
      <c r="O75" s="49"/>
      <c r="P75" s="49"/>
    </row>
    <row r="76" spans="1:43" s="212" customFormat="1" x14ac:dyDescent="0.25">
      <c r="A76" s="49"/>
      <c r="B76" s="49"/>
      <c r="C76" s="49"/>
      <c r="D76" s="49"/>
      <c r="E76" s="49"/>
      <c r="F76" s="49"/>
      <c r="G76" s="49"/>
      <c r="H76" s="49"/>
      <c r="I76" s="49"/>
      <c r="J76" s="49"/>
      <c r="K76" s="133"/>
      <c r="L76" s="49"/>
      <c r="M76" s="49"/>
      <c r="N76" s="49"/>
      <c r="O76" s="49"/>
      <c r="P76" s="49"/>
    </row>
    <row r="77" spans="1:43" s="212" customFormat="1" x14ac:dyDescent="0.25">
      <c r="A77" s="49"/>
      <c r="B77" s="49"/>
      <c r="C77" s="49"/>
      <c r="D77" s="49"/>
      <c r="E77" s="49"/>
      <c r="F77" s="49"/>
      <c r="G77" s="49"/>
      <c r="H77" s="49"/>
      <c r="I77" s="49"/>
      <c r="J77" s="49"/>
      <c r="K77" s="133"/>
      <c r="L77" s="49"/>
      <c r="M77" s="49"/>
      <c r="N77" s="49"/>
      <c r="O77" s="49"/>
      <c r="P77" s="49"/>
    </row>
    <row r="78" spans="1:43" s="212" customFormat="1" x14ac:dyDescent="0.25">
      <c r="K78" s="133"/>
    </row>
    <row r="79" spans="1:43" s="212" customFormat="1" x14ac:dyDescent="0.25">
      <c r="K79" s="133"/>
    </row>
    <row r="80" spans="1:43" s="212" customFormat="1" x14ac:dyDescent="0.25">
      <c r="K80" s="133"/>
    </row>
    <row r="81" spans="11:68" s="212" customFormat="1" x14ac:dyDescent="0.25">
      <c r="K81" s="133"/>
    </row>
    <row r="82" spans="11:68" s="212" customFormat="1" x14ac:dyDescent="0.25">
      <c r="K82" s="133"/>
    </row>
    <row r="83" spans="11:68" s="212" customFormat="1" x14ac:dyDescent="0.25">
      <c r="K83" s="133"/>
    </row>
    <row r="84" spans="11:68" s="212" customFormat="1" x14ac:dyDescent="0.25">
      <c r="K84" s="133"/>
    </row>
    <row r="85" spans="11:68" s="212" customFormat="1" x14ac:dyDescent="0.25">
      <c r="K85" s="133"/>
    </row>
    <row r="86" spans="11:68" s="212" customFormat="1" x14ac:dyDescent="0.25">
      <c r="K86" s="133"/>
    </row>
    <row r="87" spans="11:68" s="212" customFormat="1" x14ac:dyDescent="0.25">
      <c r="K87" s="133"/>
    </row>
    <row r="88" spans="11:68" s="212" customFormat="1" x14ac:dyDescent="0.25">
      <c r="K88" s="133"/>
    </row>
    <row r="89" spans="11:68" s="212" customFormat="1" x14ac:dyDescent="0.25">
      <c r="K89" s="133"/>
      <c r="BJ89" s="256"/>
      <c r="BK89" s="256"/>
      <c r="BL89" s="256"/>
      <c r="BM89" s="256"/>
      <c r="BN89" s="256"/>
      <c r="BO89" s="256"/>
      <c r="BP89" s="256"/>
    </row>
    <row r="90" spans="11:68" s="212" customFormat="1" x14ac:dyDescent="0.25">
      <c r="K90" s="133"/>
      <c r="BJ90" s="256"/>
      <c r="BK90" s="256"/>
      <c r="BL90" s="256"/>
      <c r="BM90" s="256"/>
      <c r="BN90" s="256"/>
      <c r="BO90" s="256"/>
      <c r="BP90" s="256"/>
    </row>
    <row r="91" spans="11:68" s="212" customFormat="1" x14ac:dyDescent="0.25">
      <c r="K91" s="133"/>
    </row>
    <row r="92" spans="11:68" s="212" customFormat="1" x14ac:dyDescent="0.25">
      <c r="K92" s="133"/>
    </row>
    <row r="93" spans="11:68" s="212" customFormat="1" x14ac:dyDescent="0.25">
      <c r="K93" s="133"/>
    </row>
    <row r="94" spans="11:68" s="212" customFormat="1" x14ac:dyDescent="0.25">
      <c r="K94" s="133"/>
    </row>
    <row r="95" spans="11:68" s="212" customFormat="1" x14ac:dyDescent="0.25">
      <c r="K95" s="133"/>
    </row>
    <row r="96" spans="11:68" s="212" customFormat="1" x14ac:dyDescent="0.25">
      <c r="K96" s="133"/>
    </row>
    <row r="97" spans="4:80" x14ac:dyDescent="0.25">
      <c r="D97" s="212"/>
      <c r="E97" s="212"/>
      <c r="G97" s="212"/>
      <c r="H97" s="212"/>
      <c r="S97" s="212"/>
      <c r="T97" s="212"/>
      <c r="U97" s="212"/>
      <c r="V97" s="212"/>
      <c r="W97" s="212"/>
      <c r="X97" s="212"/>
      <c r="Y97" s="212"/>
      <c r="Z97" s="212"/>
      <c r="AA97" s="212"/>
      <c r="AB97" s="212"/>
      <c r="AC97" s="212"/>
      <c r="AD97" s="212"/>
      <c r="AE97" s="212"/>
      <c r="AF97" s="212"/>
      <c r="AG97" s="212"/>
      <c r="AH97" s="212"/>
      <c r="AI97" s="212"/>
      <c r="AJ97" s="212"/>
      <c r="AK97" s="212"/>
      <c r="AL97" s="212"/>
      <c r="AM97" s="212"/>
      <c r="AN97" s="212"/>
      <c r="AO97" s="212"/>
      <c r="AP97" s="212"/>
      <c r="AQ97" s="212"/>
      <c r="AR97" s="212"/>
      <c r="AS97" s="212"/>
      <c r="AT97" s="212"/>
      <c r="AU97" s="212"/>
      <c r="AV97" s="212"/>
      <c r="AW97" s="212"/>
      <c r="AX97" s="212"/>
      <c r="AY97" s="212"/>
      <c r="AZ97" s="212"/>
      <c r="BA97" s="212"/>
      <c r="BB97" s="212"/>
      <c r="BC97" s="212"/>
      <c r="BD97" s="212"/>
      <c r="BE97" s="212"/>
      <c r="BF97" s="212"/>
      <c r="BG97" s="212"/>
      <c r="BH97" s="212"/>
      <c r="BI97" s="212"/>
      <c r="BJ97" s="212"/>
      <c r="BK97" s="212"/>
      <c r="BL97" s="212"/>
      <c r="BM97" s="212"/>
      <c r="BN97" s="212"/>
      <c r="BO97" s="212"/>
      <c r="BP97" s="212"/>
      <c r="BQ97" s="212"/>
      <c r="BR97" s="212"/>
      <c r="BS97" s="212"/>
      <c r="BT97" s="212"/>
      <c r="BU97" s="212"/>
      <c r="BV97" s="212"/>
      <c r="BW97" s="212"/>
      <c r="BX97" s="212"/>
      <c r="BY97" s="212"/>
      <c r="BZ97" s="212"/>
      <c r="CA97" s="212"/>
    </row>
    <row r="98" spans="4:80" x14ac:dyDescent="0.25">
      <c r="D98" s="212"/>
      <c r="E98" s="212"/>
      <c r="G98" s="212"/>
      <c r="H98" s="212"/>
      <c r="S98" s="212"/>
      <c r="T98" s="212"/>
      <c r="U98" s="212"/>
      <c r="V98" s="212"/>
      <c r="W98" s="212"/>
      <c r="X98" s="212"/>
      <c r="Y98" s="212"/>
      <c r="Z98" s="212"/>
      <c r="AA98" s="212"/>
      <c r="AB98" s="212"/>
      <c r="AC98" s="212"/>
      <c r="AD98" s="212"/>
      <c r="AE98" s="212"/>
      <c r="AF98" s="212"/>
      <c r="AG98" s="212"/>
      <c r="AH98" s="212"/>
      <c r="AI98" s="212"/>
      <c r="AJ98" s="212"/>
      <c r="AK98" s="212"/>
      <c r="AL98" s="212"/>
      <c r="AM98" s="212"/>
      <c r="AN98" s="212"/>
      <c r="AO98" s="212"/>
      <c r="AP98" s="212"/>
      <c r="AQ98" s="212"/>
      <c r="AR98" s="212"/>
      <c r="AS98" s="212"/>
      <c r="AT98" s="212"/>
      <c r="AU98" s="212"/>
      <c r="AV98" s="212"/>
      <c r="AW98" s="212"/>
      <c r="AX98" s="212"/>
      <c r="AY98" s="212"/>
      <c r="AZ98" s="212"/>
      <c r="BA98" s="212"/>
      <c r="BB98" s="212"/>
      <c r="BC98" s="212"/>
      <c r="BD98" s="212"/>
      <c r="BE98" s="212"/>
      <c r="BF98" s="212"/>
      <c r="BG98" s="212"/>
      <c r="BH98" s="212"/>
      <c r="BI98" s="212"/>
      <c r="BJ98" s="212"/>
      <c r="BK98" s="212"/>
      <c r="BL98" s="212"/>
      <c r="BM98" s="212"/>
      <c r="BN98" s="212"/>
      <c r="BO98" s="212"/>
      <c r="BP98" s="212"/>
      <c r="BQ98" s="212"/>
      <c r="BR98" s="212"/>
      <c r="BS98" s="212"/>
      <c r="BT98" s="212"/>
      <c r="BU98" s="212"/>
      <c r="BV98" s="212"/>
      <c r="BW98" s="212"/>
      <c r="BX98" s="212"/>
      <c r="BY98" s="212"/>
      <c r="BZ98" s="212"/>
      <c r="CA98" s="212"/>
    </row>
    <row r="99" spans="4:80" x14ac:dyDescent="0.25">
      <c r="D99" s="212"/>
      <c r="E99" s="212"/>
      <c r="G99" s="212"/>
      <c r="H99" s="212"/>
      <c r="S99" s="212"/>
      <c r="T99" s="212"/>
      <c r="U99" s="212"/>
      <c r="V99" s="212"/>
      <c r="W99" s="212"/>
      <c r="X99" s="212"/>
      <c r="Y99" s="212"/>
      <c r="Z99" s="212"/>
      <c r="AA99" s="212"/>
      <c r="AB99" s="212"/>
      <c r="AC99" s="212"/>
      <c r="AD99" s="212"/>
      <c r="AE99" s="212"/>
      <c r="AF99" s="212"/>
      <c r="AG99" s="212"/>
      <c r="AH99" s="212"/>
      <c r="AI99" s="212"/>
      <c r="AJ99" s="212"/>
      <c r="AK99" s="212"/>
      <c r="AL99" s="212"/>
      <c r="AM99" s="212"/>
      <c r="AN99" s="212"/>
      <c r="AO99" s="212"/>
      <c r="AP99" s="212"/>
      <c r="AQ99" s="212"/>
      <c r="AR99" s="212"/>
      <c r="AS99" s="212"/>
      <c r="AT99" s="212"/>
      <c r="AU99" s="212"/>
      <c r="AV99" s="212"/>
      <c r="AW99" s="212"/>
      <c r="AX99" s="212"/>
      <c r="AY99" s="212"/>
      <c r="AZ99" s="212"/>
      <c r="BA99" s="212"/>
      <c r="BB99" s="212"/>
      <c r="BC99" s="212"/>
      <c r="BD99" s="212"/>
      <c r="BE99" s="212"/>
      <c r="BF99" s="212"/>
      <c r="BG99" s="212"/>
      <c r="BH99" s="212"/>
      <c r="BI99" s="212"/>
      <c r="BJ99" s="212"/>
      <c r="BK99" s="212"/>
      <c r="BL99" s="212"/>
      <c r="BM99" s="212"/>
      <c r="BN99" s="212"/>
      <c r="BO99" s="212"/>
      <c r="BP99" s="212"/>
      <c r="BQ99" s="212"/>
      <c r="BR99" s="212"/>
      <c r="BS99" s="212"/>
      <c r="BT99" s="212"/>
      <c r="BU99" s="212"/>
      <c r="BV99" s="212"/>
      <c r="BW99" s="212"/>
      <c r="BX99" s="212"/>
      <c r="BY99" s="212"/>
      <c r="BZ99" s="212"/>
      <c r="CA99" s="212"/>
    </row>
    <row r="100" spans="4:80" x14ac:dyDescent="0.25">
      <c r="D100" s="212"/>
      <c r="I100" s="215"/>
      <c r="J100" s="215"/>
      <c r="S100" s="212"/>
      <c r="BF100" s="215"/>
      <c r="BI100" s="133"/>
      <c r="CB100" s="215"/>
    </row>
  </sheetData>
  <mergeCells count="40">
    <mergeCell ref="Z67:AQ67"/>
    <mergeCell ref="BO89:BO90"/>
    <mergeCell ref="BP89:BP90"/>
    <mergeCell ref="R73:R74"/>
    <mergeCell ref="BJ89:BJ90"/>
    <mergeCell ref="BK89:BK90"/>
    <mergeCell ref="BL89:BL90"/>
    <mergeCell ref="BM89:BM90"/>
    <mergeCell ref="BN89:BN90"/>
    <mergeCell ref="S69:S70"/>
    <mergeCell ref="A46:B47"/>
    <mergeCell ref="C46:C47"/>
    <mergeCell ref="A48:B49"/>
    <mergeCell ref="A50:B50"/>
    <mergeCell ref="A51:B54"/>
    <mergeCell ref="A55:B55"/>
    <mergeCell ref="H67:I67"/>
    <mergeCell ref="K67:L67"/>
    <mergeCell ref="M67:O67"/>
    <mergeCell ref="P67:Q67"/>
    <mergeCell ref="A41:B42"/>
    <mergeCell ref="A43:B45"/>
    <mergeCell ref="C43:C45"/>
    <mergeCell ref="Q69:Q70"/>
    <mergeCell ref="R69:R70"/>
    <mergeCell ref="I23:I24"/>
    <mergeCell ref="J23:J24"/>
    <mergeCell ref="A38:B39"/>
    <mergeCell ref="C38:C39"/>
    <mergeCell ref="A40:B40"/>
    <mergeCell ref="C9:C13"/>
    <mergeCell ref="A15:B16"/>
    <mergeCell ref="A26:B37"/>
    <mergeCell ref="A1:B1"/>
    <mergeCell ref="A2:B2"/>
    <mergeCell ref="A3:B8"/>
    <mergeCell ref="A9:B14"/>
    <mergeCell ref="A17:B22"/>
    <mergeCell ref="A23:B25"/>
    <mergeCell ref="C23:C24"/>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146</v>
      </c>
      <c r="G3" s="28"/>
      <c r="H3" s="160" t="str">
        <f>IF(G3="",E3,G3)</f>
        <v>Connectivity on airplanes</v>
      </c>
      <c r="I3" s="39" t="s">
        <v>497</v>
      </c>
      <c r="J3" s="155" t="s">
        <v>523</v>
      </c>
      <c r="K3" s="135" t="s">
        <v>152</v>
      </c>
    </row>
    <row r="4" spans="1:79" ht="16.5" customHeight="1" x14ac:dyDescent="0.25">
      <c r="A4" s="265"/>
      <c r="B4" s="266"/>
      <c r="C4" s="218"/>
      <c r="D4" s="221" t="s">
        <v>264</v>
      </c>
      <c r="E4" s="122" t="str">
        <f>VLOOKUP(E3,'Pick lists'!$A$1:$B$28, 2,FALSE)</f>
        <v>3D Connectivity: Aircrafts</v>
      </c>
      <c r="G4" s="223"/>
      <c r="H4" s="160" t="str">
        <f t="shared" ref="H4:H23" si="0">IF(G4="",E4,G4)</f>
        <v>3D Connectivity: Aircrafts</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150000000</v>
      </c>
      <c r="G18" s="150"/>
      <c r="H18" s="160">
        <f t="shared" si="0"/>
        <v>150000000</v>
      </c>
      <c r="I18" s="223" t="s">
        <v>518</v>
      </c>
      <c r="J18" s="153"/>
    </row>
    <row r="19" spans="1:79" ht="15.75" x14ac:dyDescent="0.25">
      <c r="A19" s="282"/>
      <c r="B19" s="283"/>
      <c r="C19" s="199" t="s">
        <v>567</v>
      </c>
      <c r="D19" s="226" t="s">
        <v>267</v>
      </c>
      <c r="E19" s="103">
        <f>VLOOKUP(E4,Profiles!$A$3:$AJ$27,4,FALSE)</f>
        <v>7500000</v>
      </c>
      <c r="G19" s="150"/>
      <c r="H19" s="160">
        <f t="shared" si="0"/>
        <v>7500000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20</v>
      </c>
      <c r="G21" s="150"/>
      <c r="H21" s="163">
        <f t="shared" si="0"/>
        <v>20</v>
      </c>
      <c r="I21" s="223" t="s">
        <v>521</v>
      </c>
      <c r="J21" s="153" t="s">
        <v>556</v>
      </c>
    </row>
    <row r="22" spans="1:79" ht="15.75" x14ac:dyDescent="0.25">
      <c r="A22" s="284"/>
      <c r="B22" s="285"/>
      <c r="C22" s="193"/>
      <c r="D22" s="226" t="s">
        <v>271</v>
      </c>
      <c r="E22" s="104">
        <f>ROUND((E13*E19)/(1024*1024),0)</f>
        <v>1</v>
      </c>
      <c r="G22" s="150"/>
      <c r="H22" s="163">
        <f t="shared" si="0"/>
        <v>1</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82</v>
      </c>
      <c r="G33" s="150"/>
      <c r="H33" s="162">
        <f t="shared" si="1"/>
        <v>82</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Yes</v>
      </c>
      <c r="G35" s="150"/>
      <c r="H35" s="161" t="str">
        <f t="shared" si="1"/>
        <v>Yes</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SSC2</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1000</v>
      </c>
      <c r="G40" s="150"/>
      <c r="H40" s="160">
        <f t="shared" si="1"/>
        <v>1000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Hybrid positioning</v>
      </c>
      <c r="G43" s="150"/>
      <c r="H43" s="161" t="str">
        <f t="shared" si="1"/>
        <v>Hybrid positioning</v>
      </c>
      <c r="I43" s="223" t="s">
        <v>509</v>
      </c>
      <c r="J43" s="153"/>
    </row>
    <row r="44" spans="1:11" ht="15" customHeight="1" x14ac:dyDescent="0.25">
      <c r="A44" s="282"/>
      <c r="B44" s="283"/>
      <c r="C44" s="287"/>
      <c r="D44" s="41" t="s">
        <v>338</v>
      </c>
      <c r="E44" s="134">
        <f>IF(VLOOKUP(E4,Profiles!$A$3:$AJ$27,11,FALSE)="Yes",VLOOKUP(E4,Profiles!$A$3:$AJ$27,13,FALSE),"-")</f>
        <v>1</v>
      </c>
      <c r="G44" s="150"/>
      <c r="H44" s="165">
        <f t="shared" si="1"/>
        <v>1</v>
      </c>
      <c r="I44" s="223" t="s">
        <v>510</v>
      </c>
      <c r="J44" s="153"/>
    </row>
    <row r="45" spans="1:11" x14ac:dyDescent="0.25">
      <c r="A45" s="284"/>
      <c r="B45" s="285"/>
      <c r="C45" s="271"/>
      <c r="D45" s="41" t="s">
        <v>337</v>
      </c>
      <c r="E45" s="114">
        <f>IF(VLOOKUP(E4,Profiles!$A$3:$AJ$27,11,FALSE)="Yes",VLOOKUP(E4,Profiles!$A$3:$AJ$27,14,FALSE),"-")</f>
        <v>0.5</v>
      </c>
      <c r="G45" s="150"/>
      <c r="H45" s="162">
        <f t="shared" si="1"/>
        <v>0.5</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145</v>
      </c>
      <c r="G3" s="28"/>
      <c r="H3" s="160" t="str">
        <f>IF(G3="",E3,G3)</f>
        <v>Connectivity via mobile hotspots</v>
      </c>
      <c r="I3" s="39" t="s">
        <v>497</v>
      </c>
      <c r="J3" s="155" t="s">
        <v>523</v>
      </c>
      <c r="K3" s="135" t="s">
        <v>152</v>
      </c>
    </row>
    <row r="4" spans="1:79" ht="16.5" customHeight="1" x14ac:dyDescent="0.25">
      <c r="A4" s="265"/>
      <c r="B4" s="266"/>
      <c r="C4" s="218"/>
      <c r="D4" s="221" t="s">
        <v>264</v>
      </c>
      <c r="E4" s="122" t="str">
        <f>VLOOKUP(E3,'Pick lists'!$A$1:$B$28, 2,FALSE)</f>
        <v xml:space="preserve">Moving Hot Spots </v>
      </c>
      <c r="G4" s="223"/>
      <c r="H4" s="160" t="str">
        <f t="shared" ref="H4:H23" si="0">IF(G4="",E4,G4)</f>
        <v xml:space="preserve">Moving Hot Spots </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0.22</v>
      </c>
      <c r="G13" s="28"/>
      <c r="H13" s="160">
        <f t="shared" si="0"/>
        <v>0.22</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0.3</v>
      </c>
      <c r="G17" s="150"/>
      <c r="H17" s="162">
        <f>IF(G17="",E17,G17)</f>
        <v>0.3</v>
      </c>
      <c r="I17" s="223" t="s">
        <v>517</v>
      </c>
      <c r="J17" s="153" t="s">
        <v>499</v>
      </c>
    </row>
    <row r="18" spans="1:79" ht="15" customHeight="1" x14ac:dyDescent="0.25">
      <c r="A18" s="282"/>
      <c r="B18" s="283"/>
      <c r="C18" s="198" t="s">
        <v>576</v>
      </c>
      <c r="D18" s="226" t="s">
        <v>266</v>
      </c>
      <c r="E18" s="103">
        <f>VLOOKUP(E4,Profiles!$A$3:$AJ$27,3,FALSE)</f>
        <v>500000000</v>
      </c>
      <c r="G18" s="150"/>
      <c r="H18" s="160">
        <f t="shared" si="0"/>
        <v>500000000</v>
      </c>
      <c r="I18" s="223" t="s">
        <v>518</v>
      </c>
      <c r="J18" s="153"/>
    </row>
    <row r="19" spans="1:79" ht="15.75" x14ac:dyDescent="0.25">
      <c r="A19" s="282"/>
      <c r="B19" s="283"/>
      <c r="C19" s="199" t="s">
        <v>567</v>
      </c>
      <c r="D19" s="226" t="s">
        <v>267</v>
      </c>
      <c r="E19" s="103">
        <f>VLOOKUP(E4,Profiles!$A$3:$AJ$27,4,FALSE)</f>
        <v>25000000</v>
      </c>
      <c r="G19" s="150"/>
      <c r="H19" s="160">
        <f t="shared" si="0"/>
        <v>25000000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105</v>
      </c>
      <c r="G21" s="150"/>
      <c r="H21" s="163">
        <f t="shared" si="0"/>
        <v>105</v>
      </c>
      <c r="I21" s="223" t="s">
        <v>521</v>
      </c>
      <c r="J21" s="153" t="s">
        <v>556</v>
      </c>
    </row>
    <row r="22" spans="1:79" ht="15.75" x14ac:dyDescent="0.25">
      <c r="A22" s="284"/>
      <c r="B22" s="285"/>
      <c r="C22" s="193"/>
      <c r="D22" s="226" t="s">
        <v>271</v>
      </c>
      <c r="E22" s="104">
        <f>ROUND((E13*E19)/(1024*1024),0)</f>
        <v>5</v>
      </c>
      <c r="G22" s="150"/>
      <c r="H22" s="163">
        <f t="shared" si="0"/>
        <v>5</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SSC2</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147</v>
      </c>
      <c r="G3" s="28"/>
      <c r="H3" s="160" t="str">
        <f>IF(G3="",E3,G3)</f>
        <v>Connectivity on trains</v>
      </c>
      <c r="I3" s="39" t="s">
        <v>497</v>
      </c>
      <c r="J3" s="155" t="s">
        <v>523</v>
      </c>
      <c r="K3" s="135" t="s">
        <v>152</v>
      </c>
    </row>
    <row r="4" spans="1:79" ht="16.5" customHeight="1" x14ac:dyDescent="0.25">
      <c r="A4" s="265"/>
      <c r="B4" s="266"/>
      <c r="C4" s="218"/>
      <c r="D4" s="221" t="s">
        <v>264</v>
      </c>
      <c r="E4" s="122" t="str">
        <f>VLOOKUP(E3,'Pick lists'!$A$1:$B$28, 2,FALSE)</f>
        <v>High speed train</v>
      </c>
      <c r="G4" s="223"/>
      <c r="H4" s="160" t="str">
        <f t="shared" ref="H4:H23" si="0">IF(G4="",E4,G4)</f>
        <v>High speed train</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500000000</v>
      </c>
      <c r="G18" s="150"/>
      <c r="H18" s="160">
        <f t="shared" si="0"/>
        <v>500000000</v>
      </c>
      <c r="I18" s="223" t="s">
        <v>518</v>
      </c>
      <c r="J18" s="153"/>
    </row>
    <row r="19" spans="1:79" ht="15.75" x14ac:dyDescent="0.25">
      <c r="A19" s="282"/>
      <c r="B19" s="283"/>
      <c r="C19" s="199" t="s">
        <v>567</v>
      </c>
      <c r="D19" s="226" t="s">
        <v>267</v>
      </c>
      <c r="E19" s="103">
        <f>VLOOKUP(E4,Profiles!$A$3:$AJ$27,4,FALSE)</f>
        <v>25000000</v>
      </c>
      <c r="G19" s="150"/>
      <c r="H19" s="160">
        <f t="shared" si="0"/>
        <v>25000000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67</v>
      </c>
      <c r="G21" s="150"/>
      <c r="H21" s="163">
        <f t="shared" si="0"/>
        <v>67</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82</v>
      </c>
      <c r="G33" s="150"/>
      <c r="H33" s="162">
        <f t="shared" si="1"/>
        <v>82</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SSC2</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149</v>
      </c>
      <c r="G3" s="28"/>
      <c r="H3" s="160" t="str">
        <f>IF(G3="",E3,G3)</f>
        <v>Connectivity for industrial robots</v>
      </c>
      <c r="I3" s="39" t="s">
        <v>497</v>
      </c>
      <c r="J3" s="155" t="s">
        <v>523</v>
      </c>
      <c r="K3" s="135" t="s">
        <v>152</v>
      </c>
    </row>
    <row r="4" spans="1:79" ht="16.5" customHeight="1" x14ac:dyDescent="0.25">
      <c r="A4" s="265"/>
      <c r="B4" s="266"/>
      <c r="C4" s="218"/>
      <c r="D4" s="221" t="s">
        <v>264</v>
      </c>
      <c r="E4" s="122" t="str">
        <f>VLOOKUP(E3,'Pick lists'!$A$1:$B$28, 2,FALSE)</f>
        <v xml:space="preserve">Collaborative robots </v>
      </c>
      <c r="G4" s="223"/>
      <c r="H4" s="160" t="str">
        <f t="shared" ref="H4:H23" si="0">IF(G4="",E4,G4)</f>
        <v xml:space="preserve">Collaborative robots </v>
      </c>
      <c r="I4" s="223" t="s">
        <v>496</v>
      </c>
      <c r="J4" s="153" t="s">
        <v>527</v>
      </c>
      <c r="K4" s="152" t="s">
        <v>340</v>
      </c>
    </row>
    <row r="5" spans="1:79" s="39" customFormat="1" ht="24" customHeight="1" thickBot="1" x14ac:dyDescent="0.3">
      <c r="A5" s="265"/>
      <c r="B5" s="266"/>
      <c r="C5" s="218"/>
      <c r="D5" s="221" t="s">
        <v>330</v>
      </c>
      <c r="E5" s="122" t="str">
        <f>VLOOKUP(E4,Profiles!$A$3:$AJ$27,36,FALSE)</f>
        <v>uRLLC</v>
      </c>
      <c r="G5" s="133"/>
      <c r="H5" s="160" t="str">
        <f t="shared" si="0"/>
        <v>uRLLC</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0.36</v>
      </c>
      <c r="G13" s="28"/>
      <c r="H13" s="160">
        <f t="shared" si="0"/>
        <v>0.36</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0.5</v>
      </c>
      <c r="G17" s="150"/>
      <c r="H17" s="162">
        <f>IF(G17="",E17,G17)</f>
        <v>0.5</v>
      </c>
      <c r="I17" s="223" t="s">
        <v>517</v>
      </c>
      <c r="J17" s="153" t="s">
        <v>499</v>
      </c>
    </row>
    <row r="18" spans="1:79" ht="15" customHeight="1" x14ac:dyDescent="0.25">
      <c r="A18" s="282"/>
      <c r="B18" s="283"/>
      <c r="C18" s="198" t="s">
        <v>576</v>
      </c>
      <c r="D18" s="226" t="s">
        <v>266</v>
      </c>
      <c r="E18" s="103">
        <f>VLOOKUP(E4,Profiles!$A$3:$AJ$27,3,FALSE)</f>
        <v>10000000</v>
      </c>
      <c r="G18" s="150"/>
      <c r="H18" s="160">
        <f t="shared" si="0"/>
        <v>10000000</v>
      </c>
      <c r="I18" s="223" t="s">
        <v>518</v>
      </c>
      <c r="J18" s="153"/>
    </row>
    <row r="19" spans="1:79" ht="15.75" x14ac:dyDescent="0.25">
      <c r="A19" s="282"/>
      <c r="B19" s="283"/>
      <c r="C19" s="199" t="s">
        <v>567</v>
      </c>
      <c r="D19" s="226" t="s">
        <v>267</v>
      </c>
      <c r="E19" s="103">
        <f>VLOOKUP(E4,Profiles!$A$3:$AJ$27,4,FALSE)</f>
        <v>10000000</v>
      </c>
      <c r="G19" s="150"/>
      <c r="H19" s="160">
        <f t="shared" si="0"/>
        <v>10000000</v>
      </c>
      <c r="I19" s="223" t="s">
        <v>519</v>
      </c>
      <c r="J19" s="153"/>
    </row>
    <row r="20" spans="1:79" ht="30" x14ac:dyDescent="0.25">
      <c r="A20" s="282"/>
      <c r="B20" s="283"/>
      <c r="C20" s="226" t="s">
        <v>574</v>
      </c>
      <c r="D20" s="221" t="s">
        <v>268</v>
      </c>
      <c r="E20" s="103">
        <f>VLOOKUP(E4,Profiles!$A$3:$AJ$27,5,FALSE)</f>
        <v>1</v>
      </c>
      <c r="G20" s="150"/>
      <c r="H20" s="160">
        <f t="shared" si="0"/>
        <v>1</v>
      </c>
      <c r="I20" s="223" t="s">
        <v>520</v>
      </c>
      <c r="J20" s="155" t="s">
        <v>555</v>
      </c>
    </row>
    <row r="21" spans="1:79" x14ac:dyDescent="0.25">
      <c r="A21" s="282"/>
      <c r="B21" s="283"/>
      <c r="C21" s="194"/>
      <c r="D21" s="226" t="s">
        <v>270</v>
      </c>
      <c r="E21" s="104">
        <f>ROUND((E13*E18)/(1024*1024),0)</f>
        <v>3</v>
      </c>
      <c r="G21" s="150"/>
      <c r="H21" s="163">
        <f t="shared" si="0"/>
        <v>3</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Yes</v>
      </c>
      <c r="G26" s="150"/>
      <c r="H26" s="161" t="str">
        <f>IF(G26="",E26,G26)</f>
        <v>Yes</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 SD</v>
      </c>
      <c r="G29" s="152"/>
      <c r="H29" s="161" t="str">
        <f t="shared" si="1"/>
        <v>Same SST SD</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81</v>
      </c>
      <c r="G33" s="150"/>
      <c r="H33" s="162">
        <f t="shared" si="1"/>
        <v>81</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Yes</v>
      </c>
      <c r="G35" s="150"/>
      <c r="H35" s="161" t="str">
        <f t="shared" si="1"/>
        <v>Yes</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SSC3</v>
      </c>
      <c r="G37" s="150"/>
      <c r="H37" s="161"/>
      <c r="I37" s="156" t="s">
        <v>562</v>
      </c>
      <c r="J37" s="155" t="s">
        <v>565</v>
      </c>
    </row>
    <row r="38" spans="1:11" ht="30" x14ac:dyDescent="0.25">
      <c r="A38" s="263" t="s">
        <v>582</v>
      </c>
      <c r="B38" s="264"/>
      <c r="C38" s="272" t="s">
        <v>577</v>
      </c>
      <c r="D38" s="221" t="s">
        <v>577</v>
      </c>
      <c r="E38" s="102" t="str">
        <f>VLOOKUP(E4,Profiles!$A$3:$AP$27,42,FALSE)</f>
        <v>Local traffic</v>
      </c>
      <c r="G38" s="150"/>
      <c r="H38" s="161" t="str">
        <f t="shared" ref="H38:H39" si="2">IF(G38="",E38,G38)</f>
        <v>Local traffic</v>
      </c>
      <c r="I38" s="224" t="s">
        <v>581</v>
      </c>
      <c r="J38" s="155"/>
    </row>
    <row r="39" spans="1:11" ht="30" x14ac:dyDescent="0.25">
      <c r="A39" s="267"/>
      <c r="B39" s="268"/>
      <c r="C39" s="273"/>
      <c r="D39" s="221" t="s">
        <v>583</v>
      </c>
      <c r="E39" s="102">
        <f>VLOOKUP(E4,Profiles!$A$3:$AQ$27,43,FALSE)</f>
        <v>0</v>
      </c>
      <c r="G39" s="150"/>
      <c r="H39" s="161">
        <f t="shared" si="2"/>
        <v>0</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Hybrid positioning</v>
      </c>
      <c r="G43" s="150"/>
      <c r="H43" s="161" t="str">
        <f t="shared" si="1"/>
        <v>Hybrid positioning</v>
      </c>
      <c r="I43" s="223" t="s">
        <v>509</v>
      </c>
      <c r="J43" s="153"/>
    </row>
    <row r="44" spans="1:11" ht="15" customHeight="1" x14ac:dyDescent="0.25">
      <c r="A44" s="282"/>
      <c r="B44" s="283"/>
      <c r="C44" s="287"/>
      <c r="D44" s="41" t="s">
        <v>338</v>
      </c>
      <c r="E44" s="134">
        <f>IF(VLOOKUP(E4,Profiles!$A$3:$AJ$27,11,FALSE)="Yes",VLOOKUP(E4,Profiles!$A$3:$AJ$27,13,FALSE),"-")</f>
        <v>0.1</v>
      </c>
      <c r="G44" s="150"/>
      <c r="H44" s="165">
        <f t="shared" si="1"/>
        <v>0.1</v>
      </c>
      <c r="I44" s="223" t="s">
        <v>510</v>
      </c>
      <c r="J44" s="153"/>
    </row>
    <row r="45" spans="1:11" x14ac:dyDescent="0.25">
      <c r="A45" s="284"/>
      <c r="B45" s="285"/>
      <c r="C45" s="271"/>
      <c r="D45" s="41" t="s">
        <v>337</v>
      </c>
      <c r="E45" s="114">
        <f>IF(VLOOKUP(E4,Profiles!$A$3:$AJ$27,11,FALSE)="Yes",VLOOKUP(E4,Profiles!$A$3:$AJ$27,14,FALSE),"-")</f>
        <v>0.5</v>
      </c>
      <c r="G45" s="150"/>
      <c r="H45" s="162">
        <f t="shared" si="1"/>
        <v>0.5</v>
      </c>
      <c r="I45" s="223" t="s">
        <v>511</v>
      </c>
      <c r="J45" s="153"/>
    </row>
    <row r="46" spans="1:11" ht="15" customHeight="1" x14ac:dyDescent="0.25">
      <c r="A46" s="261" t="s">
        <v>329</v>
      </c>
      <c r="B46" s="262"/>
      <c r="C46" s="270" t="s">
        <v>306</v>
      </c>
      <c r="D46" s="41" t="s">
        <v>332</v>
      </c>
      <c r="E46" s="114">
        <f>IF(VLOOKUP(E4,Profiles!$A$3:$AJ$28,27,FALSE)="Yes",VLOOKUP(E4,Profiles!$A$3:$AH$28,28,FALSE),"-")</f>
        <v>1</v>
      </c>
      <c r="G46" s="150"/>
      <c r="H46" s="161">
        <f t="shared" si="1"/>
        <v>1</v>
      </c>
      <c r="I46" s="223" t="s">
        <v>506</v>
      </c>
      <c r="J46" s="153"/>
    </row>
    <row r="47" spans="1:11" ht="30" x14ac:dyDescent="0.25">
      <c r="A47" s="284"/>
      <c r="B47" s="285"/>
      <c r="C47" s="271"/>
      <c r="D47" s="41" t="s">
        <v>333</v>
      </c>
      <c r="E47" s="114">
        <f>IF(VLOOKUP(E4,Profiles!$A$3:$AJ$28,27,FALSE)="Yes",VLOOKUP(E4,Profiles!$A$3:$AJ$27,29,FALSE),"-")</f>
        <v>1</v>
      </c>
      <c r="G47" s="150"/>
      <c r="H47" s="161">
        <f t="shared" si="1"/>
        <v>1</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Yes</v>
      </c>
      <c r="F53" s="174"/>
      <c r="G53" s="150"/>
      <c r="H53" s="161" t="str">
        <f t="shared" si="1"/>
        <v>Yes</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Active</v>
      </c>
      <c r="F54" s="174"/>
      <c r="G54" s="150"/>
      <c r="H54" s="161" t="str">
        <f t="shared" si="1"/>
        <v>Active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129</v>
      </c>
      <c r="G3" s="28"/>
      <c r="H3" s="160" t="str">
        <f>IF(G3="",E3,G3)</f>
        <v>Emergency Push to Talk Voice</v>
      </c>
      <c r="I3" s="39" t="s">
        <v>497</v>
      </c>
      <c r="J3" s="155" t="s">
        <v>523</v>
      </c>
      <c r="K3" s="135" t="s">
        <v>152</v>
      </c>
    </row>
    <row r="4" spans="1:79" ht="16.5" customHeight="1" x14ac:dyDescent="0.25">
      <c r="A4" s="265"/>
      <c r="B4" s="266"/>
      <c r="C4" s="218"/>
      <c r="D4" s="221" t="s">
        <v>264</v>
      </c>
      <c r="E4" s="122" t="str">
        <f>VLOOKUP(E3,'Pick lists'!$A$1:$B$28, 2,FALSE)</f>
        <v xml:space="preserve">Public safety </v>
      </c>
      <c r="G4" s="223"/>
      <c r="H4" s="160" t="str">
        <f t="shared" ref="H4:H23" si="0">IF(G4="",E4,G4)</f>
        <v xml:space="preserve">Public safety </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0.22</v>
      </c>
      <c r="G13" s="28"/>
      <c r="H13" s="160">
        <f t="shared" si="0"/>
        <v>0.22</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0.3</v>
      </c>
      <c r="G17" s="150"/>
      <c r="H17" s="162">
        <f>IF(G17="",E17,G17)</f>
        <v>0.3</v>
      </c>
      <c r="I17" s="223" t="s">
        <v>517</v>
      </c>
      <c r="J17" s="153" t="s">
        <v>499</v>
      </c>
    </row>
    <row r="18" spans="1:79" ht="15" customHeight="1" x14ac:dyDescent="0.25">
      <c r="A18" s="282"/>
      <c r="B18" s="283"/>
      <c r="C18" s="198" t="s">
        <v>576</v>
      </c>
      <c r="D18" s="226" t="s">
        <v>266</v>
      </c>
      <c r="E18" s="103">
        <f>VLOOKUP(E4,Profiles!$A$3:$AJ$27,3,FALSE)</f>
        <v>10000000</v>
      </c>
      <c r="G18" s="150"/>
      <c r="H18" s="160">
        <f t="shared" si="0"/>
        <v>10000000</v>
      </c>
      <c r="I18" s="223" t="s">
        <v>518</v>
      </c>
      <c r="J18" s="153"/>
    </row>
    <row r="19" spans="1:79" ht="15.75" x14ac:dyDescent="0.25">
      <c r="A19" s="282"/>
      <c r="B19" s="283"/>
      <c r="C19" s="199" t="s">
        <v>567</v>
      </c>
      <c r="D19" s="226" t="s">
        <v>267</v>
      </c>
      <c r="E19" s="103">
        <f>VLOOKUP(E4,Profiles!$A$3:$AJ$27,4,FALSE)</f>
        <v>10000000</v>
      </c>
      <c r="G19" s="150"/>
      <c r="H19" s="160">
        <f t="shared" si="0"/>
        <v>10000000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2</v>
      </c>
      <c r="G21" s="150"/>
      <c r="H21" s="163">
        <f t="shared" si="0"/>
        <v>2</v>
      </c>
      <c r="I21" s="223" t="s">
        <v>521</v>
      </c>
      <c r="J21" s="153" t="s">
        <v>556</v>
      </c>
    </row>
    <row r="22" spans="1:79" ht="15.75" x14ac:dyDescent="0.25">
      <c r="A22" s="284"/>
      <c r="B22" s="285"/>
      <c r="C22" s="193"/>
      <c r="D22" s="226" t="s">
        <v>271</v>
      </c>
      <c r="E22" s="104">
        <f>ROUND((E13*E19)/(1024*1024),0)</f>
        <v>2</v>
      </c>
      <c r="G22" s="150"/>
      <c r="H22" s="163">
        <f t="shared" si="0"/>
        <v>2</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 SD</v>
      </c>
      <c r="G29" s="152"/>
      <c r="H29" s="161" t="str">
        <f t="shared" si="1"/>
        <v>Same SST SD</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Yes</v>
      </c>
      <c r="G30" s="150"/>
      <c r="H30" s="161" t="str">
        <f t="shared" si="1"/>
        <v>Yes</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t="str">
        <f>VLOOKUP(E4,Profiles!$A$3:$AJ$27,35,FALSE)</f>
        <v>65,67,69</v>
      </c>
      <c r="G33" s="150"/>
      <c r="H33" s="162" t="str">
        <f t="shared" si="1"/>
        <v>65,67,69</v>
      </c>
      <c r="I33" s="223" t="s">
        <v>553</v>
      </c>
      <c r="J33" s="153"/>
    </row>
    <row r="34" spans="1:11" ht="15" customHeight="1" x14ac:dyDescent="0.25">
      <c r="A34" s="254"/>
      <c r="B34" s="254"/>
      <c r="C34" s="221" t="s">
        <v>215</v>
      </c>
      <c r="D34" s="221" t="s">
        <v>215</v>
      </c>
      <c r="E34" s="102" t="str">
        <f>VLOOKUP(E4,Profiles!$A$3:$AJ$27,19,FALSE)</f>
        <v>Yes</v>
      </c>
      <c r="G34" s="150"/>
      <c r="H34" s="161" t="str">
        <f t="shared" si="1"/>
        <v>Yes</v>
      </c>
      <c r="I34" s="156" t="s">
        <v>486</v>
      </c>
      <c r="J34" s="153"/>
    </row>
    <row r="35" spans="1:11" x14ac:dyDescent="0.25">
      <c r="A35" s="254"/>
      <c r="B35" s="254"/>
      <c r="C35" s="221" t="s">
        <v>279</v>
      </c>
      <c r="D35" s="221" t="s">
        <v>279</v>
      </c>
      <c r="E35" s="102" t="str">
        <f>VLOOKUP(E4,Profiles!$A$3:$AJ$27,11,FALSE)</f>
        <v>Yes</v>
      </c>
      <c r="G35" s="150"/>
      <c r="H35" s="161" t="str">
        <f t="shared" si="1"/>
        <v>Yes</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SSC2</v>
      </c>
      <c r="G37" s="150"/>
      <c r="H37" s="161"/>
      <c r="I37" s="156" t="s">
        <v>562</v>
      </c>
      <c r="J37" s="155" t="s">
        <v>565</v>
      </c>
    </row>
    <row r="38" spans="1:11" ht="30" x14ac:dyDescent="0.25">
      <c r="A38" s="263" t="s">
        <v>582</v>
      </c>
      <c r="B38" s="264"/>
      <c r="C38" s="272" t="s">
        <v>577</v>
      </c>
      <c r="D38" s="221" t="s">
        <v>577</v>
      </c>
      <c r="E38" s="102" t="str">
        <f>VLOOKUP(E4,Profiles!$A$3:$AP$27,42,FALSE)</f>
        <v>Termination in private network</v>
      </c>
      <c r="G38" s="150"/>
      <c r="H38" s="161" t="str">
        <f t="shared" ref="H38:H39" si="2">IF(G38="",E38,G38)</f>
        <v>Termination in private network</v>
      </c>
      <c r="I38" s="224" t="s">
        <v>581</v>
      </c>
      <c r="J38" s="155"/>
    </row>
    <row r="39" spans="1:11" ht="30" x14ac:dyDescent="0.25">
      <c r="A39" s="267"/>
      <c r="B39" s="268"/>
      <c r="C39" s="273"/>
      <c r="D39" s="221" t="s">
        <v>583</v>
      </c>
      <c r="E39" s="102" t="str">
        <f>VLOOKUP(E4,Profiles!$A$3:$AQ$27,43,FALSE)</f>
        <v>GRE</v>
      </c>
      <c r="G39" s="150"/>
      <c r="H39" s="161" t="str">
        <f t="shared" si="2"/>
        <v>GRE</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OTDOA</v>
      </c>
      <c r="G43" s="150"/>
      <c r="H43" s="161" t="str">
        <f t="shared" si="1"/>
        <v>OTDOA</v>
      </c>
      <c r="I43" s="223" t="s">
        <v>509</v>
      </c>
      <c r="J43" s="153"/>
    </row>
    <row r="44" spans="1:11" ht="15" customHeight="1" x14ac:dyDescent="0.25">
      <c r="A44" s="282"/>
      <c r="B44" s="283"/>
      <c r="C44" s="287"/>
      <c r="D44" s="41" t="s">
        <v>338</v>
      </c>
      <c r="E44" s="134">
        <f>IF(VLOOKUP(E4,Profiles!$A$3:$AJ$27,11,FALSE)="Yes",VLOOKUP(E4,Profiles!$A$3:$AJ$27,13,FALSE),"-")</f>
        <v>0.1</v>
      </c>
      <c r="G44" s="150"/>
      <c r="H44" s="165">
        <f t="shared" si="1"/>
        <v>0.1</v>
      </c>
      <c r="I44" s="223" t="s">
        <v>510</v>
      </c>
      <c r="J44" s="153"/>
    </row>
    <row r="45" spans="1:11" x14ac:dyDescent="0.25">
      <c r="A45" s="284"/>
      <c r="B45" s="285"/>
      <c r="C45" s="271"/>
      <c r="D45" s="41" t="s">
        <v>337</v>
      </c>
      <c r="E45" s="114">
        <f>IF(VLOOKUP(E4,Profiles!$A$3:$AJ$27,11,FALSE)="Yes",VLOOKUP(E4,Profiles!$A$3:$AJ$27,14,FALSE),"-")</f>
        <v>100</v>
      </c>
      <c r="G45" s="150"/>
      <c r="H45" s="162">
        <f t="shared" si="1"/>
        <v>100</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Pre-emption</v>
      </c>
      <c r="G48" s="150"/>
      <c r="H48" s="161" t="str">
        <f t="shared" si="1"/>
        <v>Pre-emption</v>
      </c>
      <c r="I48" s="223" t="s">
        <v>503</v>
      </c>
      <c r="J48" s="153"/>
    </row>
    <row r="49" spans="1:79" ht="45" x14ac:dyDescent="0.25">
      <c r="A49" s="254"/>
      <c r="B49" s="254"/>
      <c r="C49" s="221" t="s">
        <v>475</v>
      </c>
      <c r="D49" s="221" t="s">
        <v>475</v>
      </c>
      <c r="E49" s="135" t="str">
        <f>IF(VLOOKUP(E4,Profiles!$A$3:$AJ$27,15,FALSE)="Yes",VLOOKUP(E4,Profiles!$A$3:$AJ$27,18,FALSE),"-")</f>
        <v>Broadcast/Multicast + SC-PTM</v>
      </c>
      <c r="G49" s="150"/>
      <c r="H49" s="161" t="str">
        <f t="shared" si="1"/>
        <v>Broadcast/Multicast + SC-PTM</v>
      </c>
      <c r="I49" s="39" t="s">
        <v>504</v>
      </c>
      <c r="J49" s="155" t="s">
        <v>505</v>
      </c>
    </row>
    <row r="50" spans="1:79" x14ac:dyDescent="0.25">
      <c r="A50" s="261" t="s">
        <v>532</v>
      </c>
      <c r="B50" s="262"/>
      <c r="C50" s="222"/>
      <c r="D50" s="171" t="s">
        <v>535</v>
      </c>
      <c r="E50" s="135" t="str">
        <f>VLOOKUP(E4,Profiles!$A$3:$AO$27,41,FALSE)</f>
        <v>-</v>
      </c>
      <c r="F50" s="173"/>
      <c r="G50" s="176"/>
      <c r="H50" s="161" t="str">
        <f t="shared" si="1"/>
        <v>-</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Active</v>
      </c>
      <c r="F54" s="174"/>
      <c r="G54" s="150"/>
      <c r="H54" s="161" t="str">
        <f t="shared" si="1"/>
        <v>Active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130</v>
      </c>
      <c r="G3" s="28"/>
      <c r="H3" s="160" t="str">
        <f>IF(G3="",E3,G3)</f>
        <v>Smart office solution</v>
      </c>
      <c r="I3" s="39" t="s">
        <v>497</v>
      </c>
      <c r="J3" s="155" t="s">
        <v>523</v>
      </c>
      <c r="K3" s="135" t="s">
        <v>152</v>
      </c>
    </row>
    <row r="4" spans="1:79" ht="16.5" customHeight="1" x14ac:dyDescent="0.25">
      <c r="A4" s="265"/>
      <c r="B4" s="266"/>
      <c r="C4" s="218"/>
      <c r="D4" s="221" t="s">
        <v>264</v>
      </c>
      <c r="E4" s="122" t="str">
        <f>VLOOKUP(E3,'Pick lists'!$A$1:$B$28, 2,FALSE)</f>
        <v>Smart office</v>
      </c>
      <c r="G4" s="223"/>
      <c r="H4" s="160" t="str">
        <f t="shared" ref="H4:H23" si="0">IF(G4="",E4,G4)</f>
        <v>Smart office</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0.14000000000000001</v>
      </c>
      <c r="G13" s="28"/>
      <c r="H13" s="160">
        <f t="shared" si="0"/>
        <v>0.14000000000000001</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0.2</v>
      </c>
      <c r="G17" s="150"/>
      <c r="H17" s="162">
        <f>IF(G17="",E17,G17)</f>
        <v>0.2</v>
      </c>
      <c r="I17" s="223" t="s">
        <v>517</v>
      </c>
      <c r="J17" s="153" t="s">
        <v>499</v>
      </c>
    </row>
    <row r="18" spans="1:79" ht="15" customHeight="1" x14ac:dyDescent="0.25">
      <c r="A18" s="282"/>
      <c r="B18" s="283"/>
      <c r="C18" s="198" t="s">
        <v>576</v>
      </c>
      <c r="D18" s="226" t="s">
        <v>266</v>
      </c>
      <c r="E18" s="103">
        <f>VLOOKUP(E4,Profiles!$A$3:$AJ$27,3,FALSE)</f>
        <v>1000000000</v>
      </c>
      <c r="G18" s="150"/>
      <c r="H18" s="160">
        <f t="shared" si="0"/>
        <v>1000000000</v>
      </c>
      <c r="I18" s="223" t="s">
        <v>518</v>
      </c>
      <c r="J18" s="153"/>
    </row>
    <row r="19" spans="1:79" ht="15.75" x14ac:dyDescent="0.25">
      <c r="A19" s="282"/>
      <c r="B19" s="283"/>
      <c r="C19" s="199" t="s">
        <v>567</v>
      </c>
      <c r="D19" s="226" t="s">
        <v>267</v>
      </c>
      <c r="E19" s="103">
        <f>VLOOKUP(E4,Profiles!$A$3:$AJ$27,4,FALSE)</f>
        <v>500000000</v>
      </c>
      <c r="G19" s="150"/>
      <c r="H19" s="160">
        <f t="shared" si="0"/>
        <v>500000000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134</v>
      </c>
      <c r="G21" s="150"/>
      <c r="H21" s="163">
        <f t="shared" si="0"/>
        <v>134</v>
      </c>
      <c r="I21" s="223" t="s">
        <v>521</v>
      </c>
      <c r="J21" s="153" t="s">
        <v>556</v>
      </c>
    </row>
    <row r="22" spans="1:79" ht="15.75" x14ac:dyDescent="0.25">
      <c r="A22" s="284"/>
      <c r="B22" s="285"/>
      <c r="C22" s="193"/>
      <c r="D22" s="226" t="s">
        <v>271</v>
      </c>
      <c r="E22" s="104">
        <f>ROUND((E13*E19)/(1024*1024),0)</f>
        <v>67</v>
      </c>
      <c r="G22" s="150"/>
      <c r="H22" s="163">
        <f t="shared" si="0"/>
        <v>67</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No</v>
      </c>
      <c r="G25" s="152"/>
      <c r="H25" s="160" t="str">
        <f t="shared" ref="H25:H54" si="1">IF(G25="",E25,G25)</f>
        <v>No</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Yes</v>
      </c>
      <c r="G34" s="150"/>
      <c r="H34" s="161" t="str">
        <f t="shared" si="1"/>
        <v>Yes</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Yes</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t="str">
        <f>IF(VLOOKUP(E4,Profiles!$A$3:$AH$27,6,FALSE)="Yes",VLOOKUP(E4,Profiles!$A$3:$AH$27,7,FALSE),"-")</f>
        <v>-</v>
      </c>
      <c r="G40" s="150"/>
      <c r="H40" s="160" t="str">
        <f t="shared" si="1"/>
        <v>-</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Yes</v>
      </c>
      <c r="F53" s="174"/>
      <c r="G53" s="150"/>
      <c r="H53" s="161" t="str">
        <f t="shared" si="1"/>
        <v>Yes</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238</v>
      </c>
      <c r="G3" s="28"/>
      <c r="H3" s="160" t="str">
        <f>IF(G3="",E3,G3)</f>
        <v>Collect Smartcity sensor data</v>
      </c>
      <c r="I3" s="39" t="s">
        <v>497</v>
      </c>
      <c r="J3" s="155" t="s">
        <v>523</v>
      </c>
      <c r="K3" s="135" t="s">
        <v>152</v>
      </c>
    </row>
    <row r="4" spans="1:79" ht="16.5" customHeight="1" x14ac:dyDescent="0.25">
      <c r="A4" s="265"/>
      <c r="B4" s="266"/>
      <c r="C4" s="218"/>
      <c r="D4" s="221" t="s">
        <v>264</v>
      </c>
      <c r="E4" s="122" t="str">
        <f>VLOOKUP(E3,'Pick lists'!$A$1:$B$28, 2,FALSE)</f>
        <v>Sensor networks</v>
      </c>
      <c r="G4" s="223"/>
      <c r="H4" s="160" t="str">
        <f t="shared" ref="H4:H23" si="0">IF(G4="",E4,G4)</f>
        <v>Sensor networks</v>
      </c>
      <c r="I4" s="223" t="s">
        <v>496</v>
      </c>
      <c r="J4" s="153" t="s">
        <v>527</v>
      </c>
      <c r="K4" s="152" t="s">
        <v>340</v>
      </c>
    </row>
    <row r="5" spans="1:79" s="39" customFormat="1" ht="24" customHeight="1" thickBot="1" x14ac:dyDescent="0.3">
      <c r="A5" s="265"/>
      <c r="B5" s="266"/>
      <c r="C5" s="218"/>
      <c r="D5" s="221" t="s">
        <v>330</v>
      </c>
      <c r="E5" s="122" t="str">
        <f>VLOOKUP(E4,Profiles!$A$3:$AJ$27,36,FALSE)</f>
        <v>mIOT</v>
      </c>
      <c r="G5" s="133"/>
      <c r="H5" s="160" t="str">
        <f t="shared" si="0"/>
        <v>mIOT</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7.0000000000000007E-2</v>
      </c>
      <c r="G13" s="28"/>
      <c r="H13" s="160">
        <f t="shared" si="0"/>
        <v>7.0000000000000007E-2</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0.1</v>
      </c>
      <c r="G17" s="150"/>
      <c r="H17" s="162">
        <f>IF(G17="",E17,G17)</f>
        <v>0.1</v>
      </c>
      <c r="I17" s="223" t="s">
        <v>517</v>
      </c>
      <c r="J17" s="153" t="s">
        <v>499</v>
      </c>
    </row>
    <row r="18" spans="1:79" ht="15" customHeight="1" x14ac:dyDescent="0.25">
      <c r="A18" s="282"/>
      <c r="B18" s="283"/>
      <c r="C18" s="198" t="s">
        <v>576</v>
      </c>
      <c r="D18" s="226" t="s">
        <v>266</v>
      </c>
      <c r="E18" s="103">
        <f>VLOOKUP(E4,Profiles!$A$3:$AJ$27,3,FALSE)</f>
        <v>100000</v>
      </c>
      <c r="G18" s="150"/>
      <c r="H18" s="160">
        <f t="shared" si="0"/>
        <v>100000</v>
      </c>
      <c r="I18" s="223" t="s">
        <v>518</v>
      </c>
      <c r="J18" s="153"/>
    </row>
    <row r="19" spans="1:79" ht="15.75" x14ac:dyDescent="0.25">
      <c r="A19" s="282"/>
      <c r="B19" s="283"/>
      <c r="C19" s="199" t="s">
        <v>567</v>
      </c>
      <c r="D19" s="226" t="s">
        <v>267</v>
      </c>
      <c r="E19" s="103">
        <f>VLOOKUP(E4,Profiles!$A$3:$AJ$27,4,FALSE)</f>
        <v>100000</v>
      </c>
      <c r="G19" s="150"/>
      <c r="H19" s="160">
        <f t="shared" si="0"/>
        <v>100000</v>
      </c>
      <c r="I19" s="223" t="s">
        <v>519</v>
      </c>
      <c r="J19" s="153"/>
    </row>
    <row r="20" spans="1:79" ht="30" x14ac:dyDescent="0.25">
      <c r="A20" s="282"/>
      <c r="B20" s="283"/>
      <c r="C20" s="226" t="s">
        <v>574</v>
      </c>
      <c r="D20" s="221" t="s">
        <v>268</v>
      </c>
      <c r="E20" s="103">
        <f>VLOOKUP(E4,Profiles!$A$3:$AJ$27,5,FALSE)</f>
        <v>3000</v>
      </c>
      <c r="G20" s="150"/>
      <c r="H20" s="160">
        <f t="shared" si="0"/>
        <v>3000</v>
      </c>
      <c r="I20" s="223" t="s">
        <v>520</v>
      </c>
      <c r="J20" s="155" t="s">
        <v>555</v>
      </c>
    </row>
    <row r="21" spans="1:79" x14ac:dyDescent="0.25">
      <c r="A21" s="282"/>
      <c r="B21" s="283"/>
      <c r="C21" s="194"/>
      <c r="D21" s="226" t="s">
        <v>270</v>
      </c>
      <c r="E21" s="104">
        <f>ROUND((E13*E18)/(1024*1024),0)</f>
        <v>0</v>
      </c>
      <c r="G21" s="150"/>
      <c r="H21" s="163">
        <f t="shared" si="0"/>
        <v>0</v>
      </c>
      <c r="I21" s="223" t="s">
        <v>521</v>
      </c>
      <c r="J21" s="153" t="s">
        <v>556</v>
      </c>
    </row>
    <row r="22" spans="1:79" ht="15.75" x14ac:dyDescent="0.25">
      <c r="A22" s="284"/>
      <c r="B22" s="285"/>
      <c r="C22" s="193"/>
      <c r="D22" s="226" t="s">
        <v>271</v>
      </c>
      <c r="E22" s="104">
        <f>ROUND((E13*E19)/(1024*1024),0)</f>
        <v>0</v>
      </c>
      <c r="G22" s="150"/>
      <c r="H22" s="163">
        <f t="shared" si="0"/>
        <v>0</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No</v>
      </c>
      <c r="G25" s="152"/>
      <c r="H25" s="160" t="str">
        <f t="shared" ref="H25:H54" si="1">IF(G25="",E25,G25)</f>
        <v>No</v>
      </c>
      <c r="I25" s="39" t="s">
        <v>512</v>
      </c>
      <c r="J25" s="224" t="s">
        <v>507</v>
      </c>
      <c r="K25" s="133"/>
    </row>
    <row r="26" spans="1:79" x14ac:dyDescent="0.25">
      <c r="A26" s="254" t="s">
        <v>566</v>
      </c>
      <c r="B26" s="254"/>
      <c r="C26" s="226" t="s">
        <v>306</v>
      </c>
      <c r="D26" s="226" t="s">
        <v>306</v>
      </c>
      <c r="E26" s="102" t="str">
        <f>VLOOKUP(E4,Profiles!$A$3:$AJ$28,27,FALSE)</f>
        <v>Yes</v>
      </c>
      <c r="G26" s="150"/>
      <c r="H26" s="161" t="str">
        <f>IF(G26="",E26,G26)</f>
        <v>Yes</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None</v>
      </c>
      <c r="G37" s="150"/>
      <c r="H37" s="161"/>
      <c r="I37" s="156" t="s">
        <v>562</v>
      </c>
      <c r="J37" s="155" t="s">
        <v>565</v>
      </c>
    </row>
    <row r="38" spans="1:11" ht="30" x14ac:dyDescent="0.25">
      <c r="A38" s="263" t="s">
        <v>582</v>
      </c>
      <c r="B38" s="264"/>
      <c r="C38" s="272" t="s">
        <v>577</v>
      </c>
      <c r="D38" s="221" t="s">
        <v>577</v>
      </c>
      <c r="E38" s="102" t="str">
        <f>VLOOKUP(E4,Profiles!$A$3:$AP$27,42,FALSE)</f>
        <v>Termination in private network</v>
      </c>
      <c r="G38" s="150"/>
      <c r="H38" s="161" t="str">
        <f t="shared" ref="H38:H39" si="2">IF(G38="",E38,G38)</f>
        <v>Termination in private network</v>
      </c>
      <c r="I38" s="224" t="s">
        <v>581</v>
      </c>
      <c r="J38" s="155"/>
    </row>
    <row r="39" spans="1:11" ht="30" x14ac:dyDescent="0.25">
      <c r="A39" s="267"/>
      <c r="B39" s="268"/>
      <c r="C39" s="273"/>
      <c r="D39" s="221" t="s">
        <v>583</v>
      </c>
      <c r="E39" s="102" t="str">
        <f>VLOOKUP(E4,Profiles!$A$3:$AQ$27,43,FALSE)</f>
        <v>VPN</v>
      </c>
      <c r="G39" s="150"/>
      <c r="H39" s="161" t="str">
        <f t="shared" si="2"/>
        <v>VPN</v>
      </c>
      <c r="I39" s="224" t="s">
        <v>581</v>
      </c>
      <c r="J39" s="155"/>
    </row>
    <row r="40" spans="1:11" s="227" customFormat="1" ht="15" customHeight="1" x14ac:dyDescent="0.25">
      <c r="A40" s="286" t="s">
        <v>297</v>
      </c>
      <c r="B40" s="286"/>
      <c r="C40" s="221" t="s">
        <v>575</v>
      </c>
      <c r="D40" s="226" t="s">
        <v>304</v>
      </c>
      <c r="E40" s="99" t="str">
        <f>IF(VLOOKUP(E4,Profiles!$A$3:$AH$27,6,FALSE)="Yes",VLOOKUP(E4,Profiles!$A$3:$AH$27,7,FALSE),"-")</f>
        <v>-</v>
      </c>
      <c r="G40" s="150"/>
      <c r="H40" s="160" t="str">
        <f t="shared" si="1"/>
        <v>-</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f>IF(VLOOKUP(E4,Profiles!$A$3:$AJ$28,27,FALSE)="Yes",VLOOKUP(E4,Profiles!$A$3:$AH$28,28,FALSE),"-")</f>
        <v>300</v>
      </c>
      <c r="G46" s="150"/>
      <c r="H46" s="161">
        <f t="shared" si="1"/>
        <v>300</v>
      </c>
      <c r="I46" s="223" t="s">
        <v>506</v>
      </c>
      <c r="J46" s="153"/>
    </row>
    <row r="47" spans="1:11" ht="30" x14ac:dyDescent="0.25">
      <c r="A47" s="284"/>
      <c r="B47" s="285"/>
      <c r="C47" s="271"/>
      <c r="D47" s="41" t="s">
        <v>333</v>
      </c>
      <c r="E47" s="114">
        <f>IF(VLOOKUP(E4,Profiles!$A$3:$AJ$28,27,FALSE)="Yes",VLOOKUP(E4,Profiles!$A$3:$AJ$27,29,FALSE),"-")</f>
        <v>0.2</v>
      </c>
      <c r="G47" s="150"/>
      <c r="H47" s="161">
        <f t="shared" si="1"/>
        <v>0.2</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Yes</v>
      </c>
      <c r="F53" s="174"/>
      <c r="G53" s="150"/>
      <c r="H53" s="161" t="str">
        <f t="shared" si="1"/>
        <v>Yes</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150</v>
      </c>
      <c r="G3" s="28"/>
      <c r="H3" s="160" t="str">
        <f>IF(G3="",E3,G3)</f>
        <v>Connectivity for special event (large crowds)</v>
      </c>
      <c r="I3" s="39" t="s">
        <v>497</v>
      </c>
      <c r="J3" s="155" t="s">
        <v>523</v>
      </c>
      <c r="K3" s="135" t="s">
        <v>152</v>
      </c>
    </row>
    <row r="4" spans="1:79" ht="16.5" customHeight="1" x14ac:dyDescent="0.25">
      <c r="A4" s="265"/>
      <c r="B4" s="266"/>
      <c r="C4" s="218"/>
      <c r="D4" s="221" t="s">
        <v>264</v>
      </c>
      <c r="E4" s="122" t="str">
        <f>VLOOKUP(E3,'Pick lists'!$A$1:$B$28, 2,FALSE)</f>
        <v>Dense urban society</v>
      </c>
      <c r="G4" s="223"/>
      <c r="H4" s="160" t="str">
        <f t="shared" ref="H4:H23" si="0">IF(G4="",E4,G4)</f>
        <v>Dense urban society</v>
      </c>
      <c r="I4" s="223" t="s">
        <v>496</v>
      </c>
      <c r="J4" s="153" t="s">
        <v>527</v>
      </c>
      <c r="K4" s="152" t="s">
        <v>340</v>
      </c>
    </row>
    <row r="5" spans="1:79" s="39" customFormat="1" ht="24" customHeight="1" thickBot="1" x14ac:dyDescent="0.3">
      <c r="A5" s="265"/>
      <c r="B5" s="266"/>
      <c r="C5" s="218"/>
      <c r="D5" s="221" t="s">
        <v>330</v>
      </c>
      <c r="E5" s="122" t="str">
        <f>VLOOKUP(E4,Profiles!$A$3:$AJ$27,36,FALSE)</f>
        <v>eMBB</v>
      </c>
      <c r="G5" s="133"/>
      <c r="H5" s="160" t="str">
        <f t="shared" si="0"/>
        <v>eMBB</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7.0000000000000007E-2</v>
      </c>
      <c r="G13" s="28"/>
      <c r="H13" s="160">
        <f t="shared" si="0"/>
        <v>7.0000000000000007E-2</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0.1</v>
      </c>
      <c r="G17" s="150"/>
      <c r="H17" s="162">
        <f>IF(G17="",E17,G17)</f>
        <v>0.1</v>
      </c>
      <c r="I17" s="223" t="s">
        <v>517</v>
      </c>
      <c r="J17" s="153" t="s">
        <v>499</v>
      </c>
    </row>
    <row r="18" spans="1:79" ht="15" customHeight="1" x14ac:dyDescent="0.25">
      <c r="A18" s="282"/>
      <c r="B18" s="283"/>
      <c r="C18" s="198" t="s">
        <v>576</v>
      </c>
      <c r="D18" s="226" t="s">
        <v>266</v>
      </c>
      <c r="E18" s="103">
        <f>VLOOKUP(E4,Profiles!$A$3:$AJ$27,3,FALSE)</f>
        <v>300000000</v>
      </c>
      <c r="G18" s="150"/>
      <c r="H18" s="160">
        <f t="shared" si="0"/>
        <v>300000000</v>
      </c>
      <c r="I18" s="223" t="s">
        <v>518</v>
      </c>
      <c r="J18" s="153"/>
    </row>
    <row r="19" spans="1:79" ht="15.75" x14ac:dyDescent="0.25">
      <c r="A19" s="282"/>
      <c r="B19" s="283"/>
      <c r="C19" s="199" t="s">
        <v>567</v>
      </c>
      <c r="D19" s="226" t="s">
        <v>267</v>
      </c>
      <c r="E19" s="103">
        <f>VLOOKUP(E4,Profiles!$A$3:$AJ$27,4,FALSE)</f>
        <v>50000000</v>
      </c>
      <c r="G19" s="150"/>
      <c r="H19" s="160">
        <f t="shared" si="0"/>
        <v>50000000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20</v>
      </c>
      <c r="G21" s="150"/>
      <c r="H21" s="163">
        <f t="shared" si="0"/>
        <v>20</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6</v>
      </c>
      <c r="G33" s="150"/>
      <c r="H33" s="162">
        <f t="shared" si="1"/>
        <v>6</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Direct connection to internet</v>
      </c>
      <c r="G38" s="150"/>
      <c r="H38" s="161" t="str">
        <f t="shared" ref="H38:H39" si="2">IF(G38="",E38,G38)</f>
        <v>Direct connection to internet</v>
      </c>
      <c r="I38" s="224" t="s">
        <v>581</v>
      </c>
      <c r="J38" s="155"/>
    </row>
    <row r="39" spans="1:11" ht="30" x14ac:dyDescent="0.25">
      <c r="A39" s="267"/>
      <c r="B39" s="268"/>
      <c r="C39" s="273"/>
      <c r="D39" s="221" t="s">
        <v>583</v>
      </c>
      <c r="E39" s="102" t="str">
        <f>VLOOKUP(E4,Profiles!$A$3:$AQ$27,43,FALSE)</f>
        <v>-</v>
      </c>
      <c r="G39" s="150"/>
      <c r="H39" s="161" t="str">
        <f t="shared" si="2"/>
        <v>-</v>
      </c>
      <c r="I39" s="224" t="s">
        <v>581</v>
      </c>
      <c r="J39" s="155"/>
    </row>
    <row r="40" spans="1:11" s="227" customFormat="1" ht="15" customHeight="1" x14ac:dyDescent="0.25">
      <c r="A40" s="286" t="s">
        <v>297</v>
      </c>
      <c r="B40" s="286"/>
      <c r="C40" s="221" t="s">
        <v>575</v>
      </c>
      <c r="D40" s="226" t="s">
        <v>304</v>
      </c>
      <c r="E40" s="99">
        <f>IF(VLOOKUP(E4,Profiles!$A$3:$AH$27,6,FALSE)="Yes",VLOOKUP(E4,Profiles!$A$3:$AH$27,7,FALSE),"-")</f>
        <v>100</v>
      </c>
      <c r="G40" s="150"/>
      <c r="H40" s="160">
        <f t="shared" si="1"/>
        <v>100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Passive</v>
      </c>
      <c r="F54" s="174"/>
      <c r="G54" s="150"/>
      <c r="H54" s="161" t="str">
        <f t="shared" si="1"/>
        <v>Passive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tint="0.39997558519241921"/>
  </sheetPr>
  <dimension ref="A1:CB100"/>
  <sheetViews>
    <sheetView zoomScale="93" zoomScaleNormal="93" workbookViewId="0">
      <selection activeCell="E3" sqref="E3"/>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234</v>
      </c>
      <c r="G3" s="28"/>
      <c r="H3" s="160" t="str">
        <f>IF(G3="",E3,G3)</f>
        <v>Conduct remote surgery</v>
      </c>
      <c r="I3" s="39" t="s">
        <v>497</v>
      </c>
      <c r="J3" s="155" t="s">
        <v>523</v>
      </c>
      <c r="K3" s="135" t="s">
        <v>152</v>
      </c>
    </row>
    <row r="4" spans="1:79" ht="16.5" customHeight="1" x14ac:dyDescent="0.25">
      <c r="A4" s="265"/>
      <c r="B4" s="266"/>
      <c r="C4" s="218"/>
      <c r="D4" s="221" t="s">
        <v>264</v>
      </c>
      <c r="E4" s="122" t="str">
        <f>VLOOKUP(E3,'Pick lists'!$A$1:$B$28, 2,FALSE)</f>
        <v>eHealth: Extreme Life Critical</v>
      </c>
      <c r="G4" s="223"/>
      <c r="H4" s="160" t="str">
        <f t="shared" ref="H4:H23" si="0">IF(G4="",E4,G4)</f>
        <v>eHealth: Extreme Life Critical</v>
      </c>
      <c r="I4" s="223" t="s">
        <v>496</v>
      </c>
      <c r="J4" s="153" t="s">
        <v>527</v>
      </c>
      <c r="K4" s="152" t="s">
        <v>340</v>
      </c>
    </row>
    <row r="5" spans="1:79" s="39" customFormat="1" ht="24" customHeight="1" thickBot="1" x14ac:dyDescent="0.3">
      <c r="A5" s="265"/>
      <c r="B5" s="266"/>
      <c r="C5" s="218"/>
      <c r="D5" s="221" t="s">
        <v>330</v>
      </c>
      <c r="E5" s="122" t="str">
        <f>VLOOKUP(E4,Profiles!$A$3:$AJ$27,36,FALSE)</f>
        <v>uRLLC</v>
      </c>
      <c r="G5" s="133"/>
      <c r="H5" s="160" t="str">
        <f t="shared" si="0"/>
        <v>uRLLC</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0.36</v>
      </c>
      <c r="G13" s="28"/>
      <c r="H13" s="160">
        <f t="shared" si="0"/>
        <v>0.36</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0.5</v>
      </c>
      <c r="G17" s="150"/>
      <c r="H17" s="162">
        <f>IF(G17="",E17,G17)</f>
        <v>0.5</v>
      </c>
      <c r="I17" s="223" t="s">
        <v>517</v>
      </c>
      <c r="J17" s="153" t="s">
        <v>499</v>
      </c>
    </row>
    <row r="18" spans="1:79" ht="15" customHeight="1" x14ac:dyDescent="0.25">
      <c r="A18" s="282"/>
      <c r="B18" s="283"/>
      <c r="C18" s="198" t="s">
        <v>576</v>
      </c>
      <c r="D18" s="226" t="s">
        <v>266</v>
      </c>
      <c r="E18" s="103">
        <f>VLOOKUP(E4,Profiles!$A$3:$AJ$27,3,FALSE)</f>
        <v>10000000</v>
      </c>
      <c r="G18" s="150"/>
      <c r="H18" s="160">
        <f t="shared" si="0"/>
        <v>10000000</v>
      </c>
      <c r="I18" s="223" t="s">
        <v>518</v>
      </c>
      <c r="J18" s="153"/>
    </row>
    <row r="19" spans="1:79" ht="15.75" x14ac:dyDescent="0.25">
      <c r="A19" s="282"/>
      <c r="B19" s="283"/>
      <c r="C19" s="199" t="s">
        <v>567</v>
      </c>
      <c r="D19" s="226" t="s">
        <v>267</v>
      </c>
      <c r="E19" s="103">
        <f>VLOOKUP(E4,Profiles!$A$3:$AJ$27,4,FALSE)</f>
        <v>10000000</v>
      </c>
      <c r="G19" s="150"/>
      <c r="H19" s="160">
        <f t="shared" si="0"/>
        <v>10000000</v>
      </c>
      <c r="I19" s="223" t="s">
        <v>519</v>
      </c>
      <c r="J19" s="153"/>
    </row>
    <row r="20" spans="1:79" ht="30" x14ac:dyDescent="0.25">
      <c r="A20" s="282"/>
      <c r="B20" s="283"/>
      <c r="C20" s="226" t="s">
        <v>574</v>
      </c>
      <c r="D20" s="221" t="s">
        <v>268</v>
      </c>
      <c r="E20" s="103">
        <f>VLOOKUP(E4,Profiles!$A$3:$AJ$27,5,FALSE)</f>
        <v>10</v>
      </c>
      <c r="G20" s="150"/>
      <c r="H20" s="160">
        <f t="shared" si="0"/>
        <v>10</v>
      </c>
      <c r="I20" s="223" t="s">
        <v>520</v>
      </c>
      <c r="J20" s="155" t="s">
        <v>555</v>
      </c>
    </row>
    <row r="21" spans="1:79" x14ac:dyDescent="0.25">
      <c r="A21" s="282"/>
      <c r="B21" s="283"/>
      <c r="C21" s="194"/>
      <c r="D21" s="226" t="s">
        <v>270</v>
      </c>
      <c r="E21" s="104">
        <f>ROUND((E13*E18)/(1024*1024),0)</f>
        <v>3</v>
      </c>
      <c r="G21" s="150"/>
      <c r="H21" s="163">
        <f t="shared" si="0"/>
        <v>3</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No share</v>
      </c>
      <c r="G29" s="152"/>
      <c r="H29" s="161" t="str">
        <f t="shared" si="1"/>
        <v>No share</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81</v>
      </c>
      <c r="G33" s="150"/>
      <c r="H33" s="162">
        <f t="shared" si="1"/>
        <v>81</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Yes</v>
      </c>
      <c r="G35" s="150"/>
      <c r="H35" s="161" t="str">
        <f t="shared" si="1"/>
        <v>Yes</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SSC2</v>
      </c>
      <c r="G37" s="150"/>
      <c r="H37" s="161"/>
      <c r="I37" s="156" t="s">
        <v>562</v>
      </c>
      <c r="J37" s="155" t="s">
        <v>565</v>
      </c>
    </row>
    <row r="38" spans="1:11" ht="30" x14ac:dyDescent="0.25">
      <c r="A38" s="263" t="s">
        <v>582</v>
      </c>
      <c r="B38" s="264"/>
      <c r="C38" s="272" t="s">
        <v>577</v>
      </c>
      <c r="D38" s="221" t="s">
        <v>577</v>
      </c>
      <c r="E38" s="102" t="str">
        <f>VLOOKUP(E4,Profiles!$A$3:$AP$27,42,FALSE)</f>
        <v>Termination in private network</v>
      </c>
      <c r="G38" s="150"/>
      <c r="H38" s="161" t="str">
        <f t="shared" ref="H38:H39" si="2">IF(G38="",E38,G38)</f>
        <v>Termination in private network</v>
      </c>
      <c r="I38" s="224" t="s">
        <v>581</v>
      </c>
      <c r="J38" s="155"/>
    </row>
    <row r="39" spans="1:11" ht="30" x14ac:dyDescent="0.25">
      <c r="A39" s="267"/>
      <c r="B39" s="268"/>
      <c r="C39" s="273"/>
      <c r="D39" s="221" t="s">
        <v>583</v>
      </c>
      <c r="E39" s="102" t="str">
        <f>VLOOKUP(E4,Profiles!$A$3:$AQ$27,43,FALSE)</f>
        <v>GRE</v>
      </c>
      <c r="G39" s="150"/>
      <c r="H39" s="161" t="str">
        <f t="shared" si="2"/>
        <v>GRE</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Hybrid positioning</v>
      </c>
      <c r="G43" s="150"/>
      <c r="H43" s="161" t="str">
        <f t="shared" si="1"/>
        <v>Hybrid positioning</v>
      </c>
      <c r="I43" s="223" t="s">
        <v>509</v>
      </c>
      <c r="J43" s="153"/>
    </row>
    <row r="44" spans="1:11" ht="15" customHeight="1" x14ac:dyDescent="0.25">
      <c r="A44" s="282"/>
      <c r="B44" s="283"/>
      <c r="C44" s="287"/>
      <c r="D44" s="41" t="s">
        <v>338</v>
      </c>
      <c r="E44" s="134">
        <f>IF(VLOOKUP(E4,Profiles!$A$3:$AJ$27,11,FALSE)="Yes",VLOOKUP(E4,Profiles!$A$3:$AJ$27,13,FALSE),"-")</f>
        <v>0.1</v>
      </c>
      <c r="G44" s="150"/>
      <c r="H44" s="165">
        <f t="shared" si="1"/>
        <v>0.1</v>
      </c>
      <c r="I44" s="223" t="s">
        <v>510</v>
      </c>
      <c r="J44" s="153"/>
    </row>
    <row r="45" spans="1:11" x14ac:dyDescent="0.25">
      <c r="A45" s="284"/>
      <c r="B45" s="285"/>
      <c r="C45" s="271"/>
      <c r="D45" s="41" t="s">
        <v>337</v>
      </c>
      <c r="E45" s="114">
        <f>IF(VLOOKUP(E4,Profiles!$A$3:$AJ$27,11,FALSE)="Yes",VLOOKUP(E4,Profiles!$A$3:$AJ$27,14,FALSE),"-")</f>
        <v>0.5</v>
      </c>
      <c r="G45" s="150"/>
      <c r="H45" s="162">
        <f t="shared" si="1"/>
        <v>0.5</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Active</v>
      </c>
      <c r="F54" s="174"/>
      <c r="G54" s="150"/>
      <c r="H54" s="161" t="str">
        <f t="shared" si="1"/>
        <v>Active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5" tint="0.39997558519241921"/>
  </sheetPr>
  <dimension ref="A1:CB100"/>
  <sheetViews>
    <sheetView zoomScale="93" zoomScaleNormal="93" workbookViewId="0">
      <selection activeCell="I36" sqref="I36"/>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237</v>
      </c>
      <c r="G3" s="28"/>
      <c r="H3" s="160" t="str">
        <f>IF(G3="",E3,G3)</f>
        <v>VR/AR application</v>
      </c>
      <c r="I3" s="39" t="s">
        <v>497</v>
      </c>
      <c r="J3" s="155" t="s">
        <v>523</v>
      </c>
      <c r="K3" s="135" t="s">
        <v>152</v>
      </c>
    </row>
    <row r="4" spans="1:79" ht="16.5" customHeight="1" x14ac:dyDescent="0.25">
      <c r="A4" s="265"/>
      <c r="B4" s="266"/>
      <c r="C4" s="218"/>
      <c r="D4" s="221" t="s">
        <v>264</v>
      </c>
      <c r="E4" s="122" t="str">
        <f>VLOOKUP(E3,'Pick lists'!$A$1:$B$28, 2,FALSE)</f>
        <v>Tactile internet</v>
      </c>
      <c r="G4" s="223"/>
      <c r="H4" s="160" t="str">
        <f t="shared" ref="H4:H23" si="0">IF(G4="",E4,G4)</f>
        <v>Tactile internet</v>
      </c>
      <c r="I4" s="223" t="s">
        <v>496</v>
      </c>
      <c r="J4" s="153" t="s">
        <v>527</v>
      </c>
      <c r="K4" s="152" t="s">
        <v>340</v>
      </c>
    </row>
    <row r="5" spans="1:79" s="39" customFormat="1" ht="24" customHeight="1" thickBot="1" x14ac:dyDescent="0.3">
      <c r="A5" s="265"/>
      <c r="B5" s="266"/>
      <c r="C5" s="218"/>
      <c r="D5" s="221" t="s">
        <v>330</v>
      </c>
      <c r="E5" s="122" t="str">
        <f>VLOOKUP(E4,Profiles!$A$3:$AJ$27,36,FALSE)</f>
        <v>uRLLC</v>
      </c>
      <c r="G5" s="133"/>
      <c r="H5" s="160" t="str">
        <f t="shared" si="0"/>
        <v>uRLLC</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0.36</v>
      </c>
      <c r="G13" s="28"/>
      <c r="H13" s="160">
        <f t="shared" si="0"/>
        <v>0.36</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0.5</v>
      </c>
      <c r="G17" s="150"/>
      <c r="H17" s="162">
        <f>IF(G17="",E17,G17)</f>
        <v>0.5</v>
      </c>
      <c r="I17" s="223" t="s">
        <v>517</v>
      </c>
      <c r="J17" s="153" t="s">
        <v>499</v>
      </c>
    </row>
    <row r="18" spans="1:79" ht="15" customHeight="1" x14ac:dyDescent="0.25">
      <c r="A18" s="282"/>
      <c r="B18" s="283"/>
      <c r="C18" s="198" t="s">
        <v>576</v>
      </c>
      <c r="D18" s="226" t="s">
        <v>266</v>
      </c>
      <c r="E18" s="103">
        <f>VLOOKUP(E4,Profiles!$A$3:$AJ$27,3,FALSE)</f>
        <v>500000000</v>
      </c>
      <c r="G18" s="150"/>
      <c r="H18" s="160">
        <f t="shared" si="0"/>
        <v>500000000</v>
      </c>
      <c r="I18" s="223" t="s">
        <v>518</v>
      </c>
      <c r="J18" s="153"/>
    </row>
    <row r="19" spans="1:79" ht="15.75" x14ac:dyDescent="0.25">
      <c r="A19" s="282"/>
      <c r="B19" s="283"/>
      <c r="C19" s="199" t="s">
        <v>567</v>
      </c>
      <c r="D19" s="226" t="s">
        <v>267</v>
      </c>
      <c r="E19" s="103">
        <f>VLOOKUP(E4,Profiles!$A$3:$AJ$27,4,FALSE)</f>
        <v>25000000</v>
      </c>
      <c r="G19" s="150"/>
      <c r="H19" s="160">
        <f t="shared" si="0"/>
        <v>25000000</v>
      </c>
      <c r="I19" s="223" t="s">
        <v>519</v>
      </c>
      <c r="J19" s="153"/>
    </row>
    <row r="20" spans="1:79" ht="30" x14ac:dyDescent="0.25">
      <c r="A20" s="282"/>
      <c r="B20" s="283"/>
      <c r="C20" s="226" t="s">
        <v>574</v>
      </c>
      <c r="D20" s="221" t="s">
        <v>268</v>
      </c>
      <c r="E20" s="103">
        <f>VLOOKUP(E4,Profiles!$A$3:$AJ$27,5,FALSE)</f>
        <v>1</v>
      </c>
      <c r="G20" s="150"/>
      <c r="H20" s="160">
        <f t="shared" si="0"/>
        <v>1</v>
      </c>
      <c r="I20" s="223" t="s">
        <v>520</v>
      </c>
      <c r="J20" s="155" t="s">
        <v>555</v>
      </c>
    </row>
    <row r="21" spans="1:79" x14ac:dyDescent="0.25">
      <c r="A21" s="282"/>
      <c r="B21" s="283"/>
      <c r="C21" s="194"/>
      <c r="D21" s="226" t="s">
        <v>270</v>
      </c>
      <c r="E21" s="104">
        <f>ROUND((E13*E18)/(1024*1024),0)</f>
        <v>172</v>
      </c>
      <c r="G21" s="150"/>
      <c r="H21" s="163">
        <f t="shared" si="0"/>
        <v>172</v>
      </c>
      <c r="I21" s="223" t="s">
        <v>521</v>
      </c>
      <c r="J21" s="153" t="s">
        <v>556</v>
      </c>
    </row>
    <row r="22" spans="1:79" ht="15.75" x14ac:dyDescent="0.25">
      <c r="A22" s="284"/>
      <c r="B22" s="285"/>
      <c r="C22" s="193"/>
      <c r="D22" s="226" t="s">
        <v>271</v>
      </c>
      <c r="E22" s="104">
        <f>ROUND((E13*E19)/(1024*1024),0)</f>
        <v>9</v>
      </c>
      <c r="G22" s="150"/>
      <c r="H22" s="163">
        <f t="shared" si="0"/>
        <v>9</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No</v>
      </c>
      <c r="G27" s="150"/>
      <c r="H27" s="161" t="str">
        <f t="shared" si="1"/>
        <v>No</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v>
      </c>
      <c r="G29" s="152"/>
      <c r="H29" s="161" t="str">
        <f t="shared" si="1"/>
        <v>Same SST</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81</v>
      </c>
      <c r="G33" s="150"/>
      <c r="H33" s="162">
        <f t="shared" si="1"/>
        <v>81</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No</v>
      </c>
      <c r="G35" s="150"/>
      <c r="H35" s="161" t="str">
        <f t="shared" si="1"/>
        <v>No</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SSC1</v>
      </c>
      <c r="G37" s="150"/>
      <c r="H37" s="161"/>
      <c r="I37" s="156" t="s">
        <v>562</v>
      </c>
      <c r="J37" s="155" t="s">
        <v>565</v>
      </c>
    </row>
    <row r="38" spans="1:11" ht="30" x14ac:dyDescent="0.25">
      <c r="A38" s="263" t="s">
        <v>582</v>
      </c>
      <c r="B38" s="264"/>
      <c r="C38" s="272" t="s">
        <v>577</v>
      </c>
      <c r="D38" s="221" t="s">
        <v>577</v>
      </c>
      <c r="E38" s="102" t="str">
        <f>VLOOKUP(E4,Profiles!$A$3:$AP$27,42,FALSE)</f>
        <v>Termination in private network</v>
      </c>
      <c r="G38" s="150"/>
      <c r="H38" s="161" t="str">
        <f t="shared" ref="H38:H39" si="2">IF(G38="",E38,G38)</f>
        <v>Termination in private network</v>
      </c>
      <c r="I38" s="224" t="s">
        <v>581</v>
      </c>
      <c r="J38" s="155"/>
    </row>
    <row r="39" spans="1:11" ht="30" x14ac:dyDescent="0.25">
      <c r="A39" s="267"/>
      <c r="B39" s="268"/>
      <c r="C39" s="273"/>
      <c r="D39" s="221" t="s">
        <v>583</v>
      </c>
      <c r="E39" s="102" t="str">
        <f>VLOOKUP(E4,Profiles!$A$3:$AQ$27,43,FALSE)</f>
        <v>GRE</v>
      </c>
      <c r="G39" s="150"/>
      <c r="H39" s="161" t="str">
        <f t="shared" si="2"/>
        <v>GRE</v>
      </c>
      <c r="I39" s="224" t="s">
        <v>581</v>
      </c>
      <c r="J39" s="155"/>
    </row>
    <row r="40" spans="1:11" s="227" customFormat="1" ht="15" customHeight="1" x14ac:dyDescent="0.25">
      <c r="A40" s="286" t="s">
        <v>297</v>
      </c>
      <c r="B40" s="286"/>
      <c r="C40" s="221" t="s">
        <v>575</v>
      </c>
      <c r="D40" s="226" t="s">
        <v>304</v>
      </c>
      <c r="E40" s="99">
        <f>IF(VLOOKUP(E4,Profiles!$A$3:$AH$27,6,FALSE)="Yes",VLOOKUP(E4,Profiles!$A$3:$AH$27,7,FALSE),"-")</f>
        <v>5</v>
      </c>
      <c r="G40" s="150"/>
      <c r="H40" s="160">
        <f t="shared" si="1"/>
        <v>5</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v>
      </c>
      <c r="G41" s="150"/>
      <c r="H41" s="161" t="str">
        <f t="shared" si="1"/>
        <v>-</v>
      </c>
      <c r="I41" s="223" t="s">
        <v>300</v>
      </c>
      <c r="J41" s="153" t="s">
        <v>508</v>
      </c>
    </row>
    <row r="42" spans="1:11" x14ac:dyDescent="0.25">
      <c r="A42" s="278"/>
      <c r="B42" s="279"/>
      <c r="C42" s="41" t="s">
        <v>275</v>
      </c>
      <c r="D42" s="41" t="s">
        <v>275</v>
      </c>
      <c r="E42" s="114" t="str">
        <f>IF(VLOOKUP(E4,Profiles!$A$3:$AJ$27,21,FALSE)="Yes",VLOOKUP(E4,Profiles!$A$3:$AH$27,34,FALSE),"-")</f>
        <v>-</v>
      </c>
      <c r="G42" s="150"/>
      <c r="H42" s="161" t="str">
        <f t="shared" si="1"/>
        <v>-</v>
      </c>
      <c r="I42" s="223" t="s">
        <v>589</v>
      </c>
      <c r="J42" s="153"/>
    </row>
    <row r="43" spans="1:11" ht="15" customHeight="1" x14ac:dyDescent="0.25">
      <c r="A43" s="261" t="s">
        <v>317</v>
      </c>
      <c r="B43" s="262"/>
      <c r="C43" s="270" t="s">
        <v>279</v>
      </c>
      <c r="D43" s="41" t="s">
        <v>336</v>
      </c>
      <c r="E43" s="102" t="str">
        <f>IF(VLOOKUP(E4,Profiles!$A$3:$AJ$27,11,FALSE)="Yes",VLOOKUP(E4,Profiles!$A$3:$AJ$27,12,FALSE),"-")</f>
        <v>-</v>
      </c>
      <c r="G43" s="150"/>
      <c r="H43" s="161" t="str">
        <f t="shared" si="1"/>
        <v>-</v>
      </c>
      <c r="I43" s="223" t="s">
        <v>509</v>
      </c>
      <c r="J43" s="153"/>
    </row>
    <row r="44" spans="1:11" ht="15" customHeight="1" x14ac:dyDescent="0.25">
      <c r="A44" s="282"/>
      <c r="B44" s="283"/>
      <c r="C44" s="287"/>
      <c r="D44" s="41" t="s">
        <v>338</v>
      </c>
      <c r="E44" s="134" t="str">
        <f>IF(VLOOKUP(E4,Profiles!$A$3:$AJ$27,11,FALSE)="Yes",VLOOKUP(E4,Profiles!$A$3:$AJ$27,13,FALSE),"-")</f>
        <v>-</v>
      </c>
      <c r="G44" s="150"/>
      <c r="H44" s="165" t="str">
        <f t="shared" si="1"/>
        <v>-</v>
      </c>
      <c r="I44" s="223" t="s">
        <v>510</v>
      </c>
      <c r="J44" s="153"/>
    </row>
    <row r="45" spans="1:11" x14ac:dyDescent="0.25">
      <c r="A45" s="284"/>
      <c r="B45" s="285"/>
      <c r="C45" s="271"/>
      <c r="D45" s="41" t="s">
        <v>337</v>
      </c>
      <c r="E45" s="114" t="str">
        <f>IF(VLOOKUP(E4,Profiles!$A$3:$AJ$27,11,FALSE)="Yes",VLOOKUP(E4,Profiles!$A$3:$AJ$27,14,FALSE),"-")</f>
        <v>-</v>
      </c>
      <c r="G45" s="150"/>
      <c r="H45" s="162" t="str">
        <f t="shared" si="1"/>
        <v>-</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Active</v>
      </c>
      <c r="F54" s="174"/>
      <c r="G54" s="150"/>
      <c r="H54" s="161" t="str">
        <f t="shared" si="1"/>
        <v>Active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lists'!$J$3:$J$6</xm:f>
          </x14:formula1>
          <xm:sqref>E9:F9</xm:sqref>
        </x14:dataValidation>
        <x14:dataValidation type="list" allowBlank="1" showInputMessage="1" showErrorMessage="1">
          <x14:formula1>
            <xm:f>'Pick lists'!$A$2:$A$28</xm:f>
          </x14:formula1>
          <xm:sqref>F3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5" tint="0.39997558519241921"/>
  </sheetPr>
  <dimension ref="A1:CB100"/>
  <sheetViews>
    <sheetView tabSelected="1" zoomScale="93" zoomScaleNormal="93" workbookViewId="0">
      <selection activeCell="H37" sqref="H37"/>
    </sheetView>
  </sheetViews>
  <sheetFormatPr defaultRowHeight="15" x14ac:dyDescent="0.25"/>
  <cols>
    <col min="1" max="1" width="9.140625" style="223"/>
    <col min="2" max="2" width="17.28515625" style="223" bestFit="1" customWidth="1"/>
    <col min="3" max="3" width="39.42578125" style="223" bestFit="1" customWidth="1"/>
    <col min="4" max="4" width="49" style="227" bestFit="1" customWidth="1"/>
    <col min="5" max="5" width="48.140625" style="227" customWidth="1"/>
    <col min="6" max="6" width="11.42578125" style="223" customWidth="1"/>
    <col min="7" max="7" width="32.140625" style="227" customWidth="1"/>
    <col min="8" max="8" width="36.140625" style="227" bestFit="1" customWidth="1"/>
    <col min="9" max="9" width="85.85546875" style="223" customWidth="1"/>
    <col min="10" max="10" width="73.42578125" style="223" customWidth="1"/>
    <col min="11" max="11" width="28.42578125" style="133" bestFit="1" customWidth="1"/>
    <col min="12" max="14" width="28.42578125" style="223" customWidth="1"/>
    <col min="15" max="16" width="28.42578125" style="223" bestFit="1" customWidth="1"/>
    <col min="17" max="17" width="32.5703125" style="223" bestFit="1" customWidth="1"/>
    <col min="18" max="18" width="29.5703125" style="223" bestFit="1" customWidth="1"/>
    <col min="19" max="19" width="30.140625" style="227" bestFit="1" customWidth="1"/>
    <col min="20" max="20" width="28.140625" style="227" bestFit="1" customWidth="1"/>
    <col min="21" max="21" width="31.28515625" style="227" bestFit="1" customWidth="1"/>
    <col min="22" max="22" width="31.7109375" style="227" bestFit="1" customWidth="1"/>
    <col min="23" max="23" width="28.42578125" style="227" bestFit="1" customWidth="1"/>
    <col min="24" max="24" width="26.140625" style="227" customWidth="1"/>
    <col min="25" max="25" width="21.7109375" style="227" bestFit="1" customWidth="1"/>
    <col min="26" max="29" width="21.7109375" style="227" customWidth="1"/>
    <col min="30" max="31" width="21.7109375" style="227" bestFit="1" customWidth="1"/>
    <col min="32" max="33" width="21.7109375" style="227" customWidth="1"/>
    <col min="34" max="34" width="21.7109375" style="227" bestFit="1" customWidth="1"/>
    <col min="35" max="39" width="21.7109375" style="227" customWidth="1"/>
    <col min="40" max="40" width="21" style="227" customWidth="1"/>
    <col min="41" max="41" width="18.7109375" style="227" customWidth="1"/>
    <col min="42" max="42" width="27.5703125" style="227" bestFit="1" customWidth="1"/>
    <col min="43" max="44" width="30" style="227" bestFit="1" customWidth="1"/>
    <col min="45" max="45" width="28.42578125" style="227" bestFit="1" customWidth="1"/>
    <col min="46" max="47" width="30" style="227" bestFit="1" customWidth="1"/>
    <col min="48" max="48" width="29.42578125" style="227" bestFit="1" customWidth="1"/>
    <col min="49" max="51" width="26.140625" style="227" customWidth="1"/>
    <col min="52" max="52" width="28.85546875" style="227" bestFit="1" customWidth="1"/>
    <col min="53" max="53" width="26.140625" style="227" customWidth="1"/>
    <col min="54" max="54" width="28.85546875" style="227" bestFit="1" customWidth="1"/>
    <col min="55" max="57" width="26.140625" style="227" customWidth="1"/>
    <col min="58" max="60" width="26.140625" style="133" customWidth="1"/>
    <col min="61" max="66" width="26.140625" style="227" customWidth="1"/>
    <col min="67" max="67" width="25.5703125" style="227" bestFit="1" customWidth="1"/>
    <col min="68" max="73" width="26.140625" style="227" customWidth="1"/>
    <col min="74" max="74" width="35.42578125" style="227" customWidth="1"/>
    <col min="75" max="79" width="26.140625" style="227" customWidth="1"/>
    <col min="80" max="80" width="33.5703125" style="223" customWidth="1"/>
    <col min="81" max="81" width="51.140625" style="223" customWidth="1"/>
    <col min="82" max="16384" width="9.140625" style="223"/>
  </cols>
  <sheetData>
    <row r="1" spans="1:79" x14ac:dyDescent="0.25">
      <c r="A1" s="274"/>
      <c r="B1" s="274"/>
      <c r="C1" s="225" t="s">
        <v>480</v>
      </c>
      <c r="D1" s="227" t="s">
        <v>481</v>
      </c>
      <c r="E1" s="227" t="s">
        <v>482</v>
      </c>
      <c r="G1" s="227" t="s">
        <v>335</v>
      </c>
      <c r="H1" s="227" t="s">
        <v>307</v>
      </c>
      <c r="I1" s="149" t="s">
        <v>479</v>
      </c>
      <c r="J1" s="149" t="s">
        <v>526</v>
      </c>
    </row>
    <row r="2" spans="1:79" x14ac:dyDescent="0.25">
      <c r="A2" s="280" t="s">
        <v>255</v>
      </c>
      <c r="B2" s="281"/>
      <c r="D2" s="221" t="s">
        <v>254</v>
      </c>
      <c r="E2" s="151" t="s">
        <v>311</v>
      </c>
      <c r="G2" s="28"/>
      <c r="H2" s="160" t="str">
        <f>IF(G2="",E2,G2)</f>
        <v>First Reponse Unit Italy</v>
      </c>
      <c r="I2" s="223" t="s">
        <v>498</v>
      </c>
      <c r="J2" s="153"/>
      <c r="K2" s="151" t="s">
        <v>339</v>
      </c>
    </row>
    <row r="3" spans="1:79" ht="30" x14ac:dyDescent="0.25">
      <c r="A3" s="263" t="s">
        <v>256</v>
      </c>
      <c r="B3" s="264"/>
      <c r="C3" s="216"/>
      <c r="D3" s="221" t="s">
        <v>308</v>
      </c>
      <c r="E3" s="94" t="s">
        <v>302</v>
      </c>
      <c r="G3" s="28"/>
      <c r="H3" s="160" t="str">
        <f>IF(G3="",E3,G3)</f>
        <v>Automatic traffic control</v>
      </c>
      <c r="I3" s="39" t="s">
        <v>497</v>
      </c>
      <c r="J3" s="155" t="s">
        <v>523</v>
      </c>
      <c r="K3" s="135" t="s">
        <v>152</v>
      </c>
    </row>
    <row r="4" spans="1:79" ht="16.5" customHeight="1" x14ac:dyDescent="0.25">
      <c r="A4" s="265"/>
      <c r="B4" s="266"/>
      <c r="C4" s="218"/>
      <c r="D4" s="221" t="s">
        <v>264</v>
      </c>
      <c r="E4" s="122" t="str">
        <f>VLOOKUP(E3,'Pick lists'!$A$1:$B$28, 2,FALSE)</f>
        <v xml:space="preserve">Automatic traffic control/driving </v>
      </c>
      <c r="G4" s="223"/>
      <c r="H4" s="160" t="str">
        <f t="shared" ref="H4:H23" si="0">IF(G4="",E4,G4)</f>
        <v xml:space="preserve">Automatic traffic control/driving </v>
      </c>
      <c r="I4" s="223" t="s">
        <v>496</v>
      </c>
      <c r="J4" s="153" t="s">
        <v>527</v>
      </c>
      <c r="K4" s="152" t="s">
        <v>340</v>
      </c>
    </row>
    <row r="5" spans="1:79" s="39" customFormat="1" ht="24" customHeight="1" thickBot="1" x14ac:dyDescent="0.3">
      <c r="A5" s="265"/>
      <c r="B5" s="266"/>
      <c r="C5" s="218"/>
      <c r="D5" s="221" t="s">
        <v>330</v>
      </c>
      <c r="E5" s="122" t="str">
        <f>VLOOKUP(E4,Profiles!$A$3:$AJ$27,36,FALSE)</f>
        <v>uRLLC</v>
      </c>
      <c r="G5" s="133"/>
      <c r="H5" s="160" t="str">
        <f t="shared" si="0"/>
        <v>uRLLC</v>
      </c>
      <c r="I5" s="39" t="s">
        <v>501</v>
      </c>
      <c r="J5" s="156"/>
      <c r="K5" s="133"/>
      <c r="S5" s="133"/>
      <c r="T5" s="133"/>
      <c r="U5" s="133"/>
      <c r="V5" s="133"/>
      <c r="W5" s="133"/>
      <c r="X5" s="133"/>
      <c r="Y5" s="133"/>
      <c r="Z5" s="133"/>
      <c r="AA5" s="133"/>
      <c r="AB5" s="133"/>
      <c r="AC5" s="133"/>
      <c r="AD5" s="133"/>
      <c r="AE5" s="133"/>
      <c r="AF5" s="133"/>
      <c r="AG5" s="133"/>
      <c r="AH5" s="133"/>
      <c r="AI5" s="133"/>
      <c r="AJ5" s="133"/>
      <c r="AK5" s="133"/>
      <c r="AL5" s="133"/>
      <c r="AM5" s="133"/>
      <c r="AN5" s="133"/>
      <c r="AO5" s="133"/>
      <c r="AP5" s="133"/>
      <c r="AQ5" s="133"/>
      <c r="AR5" s="133"/>
      <c r="AS5" s="133"/>
      <c r="AT5" s="133"/>
      <c r="AU5" s="133"/>
      <c r="AV5" s="133"/>
      <c r="AW5" s="133"/>
      <c r="AX5" s="133"/>
      <c r="AY5" s="133"/>
      <c r="AZ5" s="133"/>
      <c r="BA5" s="133"/>
      <c r="BB5" s="133"/>
      <c r="BC5" s="133"/>
      <c r="BD5" s="133"/>
      <c r="BE5" s="133"/>
      <c r="BF5" s="133"/>
      <c r="BG5" s="133"/>
      <c r="BH5" s="133"/>
      <c r="BI5" s="133"/>
      <c r="BJ5" s="133"/>
      <c r="BK5" s="133"/>
      <c r="BL5" s="133"/>
      <c r="BM5" s="133"/>
      <c r="BN5" s="133"/>
      <c r="BO5" s="133"/>
      <c r="BP5" s="133"/>
      <c r="BQ5" s="133"/>
      <c r="BR5" s="133"/>
      <c r="BS5" s="133"/>
      <c r="BT5" s="133"/>
      <c r="BU5" s="133"/>
      <c r="BV5" s="133"/>
      <c r="BW5" s="133"/>
      <c r="BX5" s="133"/>
      <c r="BY5" s="133"/>
      <c r="BZ5" s="133"/>
      <c r="CA5" s="133"/>
    </row>
    <row r="6" spans="1:79" ht="32.25" customHeight="1" thickTop="1" thickBot="1" x14ac:dyDescent="0.3">
      <c r="A6" s="265"/>
      <c r="B6" s="266"/>
      <c r="C6" s="218"/>
      <c r="D6" s="221" t="s">
        <v>331</v>
      </c>
      <c r="E6" s="129"/>
      <c r="G6" s="28"/>
      <c r="H6" s="160" t="str">
        <f>IF(AND(ISBLANK(E6),ISBLANK(G6)),"",IF(ISBLANK(G6),E6,G6))</f>
        <v/>
      </c>
      <c r="I6" s="178" t="s">
        <v>529</v>
      </c>
      <c r="J6" s="155" t="s">
        <v>528</v>
      </c>
    </row>
    <row r="7" spans="1:79" ht="16.5" customHeight="1" thickTop="1" x14ac:dyDescent="0.25">
      <c r="A7" s="265"/>
      <c r="B7" s="266"/>
      <c r="C7" s="218" t="s">
        <v>287</v>
      </c>
      <c r="D7" s="221" t="s">
        <v>287</v>
      </c>
      <c r="E7" s="151">
        <v>200000</v>
      </c>
      <c r="G7" s="28"/>
      <c r="H7" s="160">
        <f>IF(ISBLANK(G7),E7,G7)</f>
        <v>200000</v>
      </c>
      <c r="I7" s="223" t="s">
        <v>494</v>
      </c>
      <c r="J7" s="153"/>
    </row>
    <row r="8" spans="1:79" ht="16.5" customHeight="1" x14ac:dyDescent="0.25">
      <c r="A8" s="267"/>
      <c r="B8" s="268"/>
      <c r="C8" s="219" t="s">
        <v>290</v>
      </c>
      <c r="D8" s="221" t="s">
        <v>290</v>
      </c>
      <c r="E8" s="151"/>
      <c r="G8" s="28"/>
      <c r="H8" s="160">
        <f>IF(AND(G8="",E7&lt;&gt;""),E7,G8)</f>
        <v>200000</v>
      </c>
      <c r="I8" s="223" t="s">
        <v>495</v>
      </c>
      <c r="J8" s="153"/>
    </row>
    <row r="9" spans="1:79" ht="16.5" customHeight="1" x14ac:dyDescent="0.25">
      <c r="A9" s="263" t="s">
        <v>141</v>
      </c>
      <c r="B9" s="264"/>
      <c r="C9" s="269" t="s">
        <v>588</v>
      </c>
      <c r="D9" s="221" t="s">
        <v>0</v>
      </c>
      <c r="E9" s="151" t="s">
        <v>1</v>
      </c>
      <c r="G9" s="28"/>
      <c r="H9" s="160" t="str">
        <f t="shared" si="0"/>
        <v>National</v>
      </c>
      <c r="I9" s="223" t="s">
        <v>492</v>
      </c>
      <c r="J9" s="153"/>
    </row>
    <row r="10" spans="1:79" ht="16.5" customHeight="1" x14ac:dyDescent="0.25">
      <c r="A10" s="265"/>
      <c r="B10" s="266"/>
      <c r="C10" s="269"/>
      <c r="D10" s="221" t="s">
        <v>140</v>
      </c>
      <c r="E10" s="151" t="s">
        <v>160</v>
      </c>
      <c r="G10" s="28"/>
      <c r="H10" s="160" t="str">
        <f t="shared" si="0"/>
        <v>Italy</v>
      </c>
      <c r="I10" s="223" t="s">
        <v>493</v>
      </c>
      <c r="J10" s="153"/>
    </row>
    <row r="11" spans="1:79" ht="16.5" customHeight="1" x14ac:dyDescent="0.25">
      <c r="A11" s="265"/>
      <c r="B11" s="266"/>
      <c r="C11" s="269"/>
      <c r="D11" s="221" t="s">
        <v>276</v>
      </c>
      <c r="E11" s="135" t="s">
        <v>277</v>
      </c>
      <c r="H11" s="160" t="str">
        <f t="shared" si="0"/>
        <v>&lt;geopolygon&gt;</v>
      </c>
      <c r="I11" s="223" t="s">
        <v>491</v>
      </c>
      <c r="J11" s="153"/>
    </row>
    <row r="12" spans="1:79" ht="47.25" customHeight="1" x14ac:dyDescent="0.25">
      <c r="A12" s="265"/>
      <c r="B12" s="266"/>
      <c r="C12" s="269"/>
      <c r="D12" s="221" t="s">
        <v>261</v>
      </c>
      <c r="E12" s="135">
        <f>VLOOKUP(E10,'Pick lists'!M2:N8,2,FALSE)</f>
        <v>277248</v>
      </c>
      <c r="G12" s="28"/>
      <c r="H12" s="160">
        <f t="shared" si="0"/>
        <v>277248</v>
      </c>
      <c r="I12" s="178" t="s">
        <v>490</v>
      </c>
      <c r="J12" s="153"/>
    </row>
    <row r="13" spans="1:79" x14ac:dyDescent="0.25">
      <c r="A13" s="265"/>
      <c r="B13" s="266"/>
      <c r="C13" s="269"/>
      <c r="D13" s="221" t="s">
        <v>269</v>
      </c>
      <c r="E13" s="157">
        <f>ROUND((E7*E17)/E12,2)</f>
        <v>0.36</v>
      </c>
      <c r="G13" s="28"/>
      <c r="H13" s="160">
        <f t="shared" si="0"/>
        <v>0.36</v>
      </c>
      <c r="I13" s="223" t="s">
        <v>488</v>
      </c>
      <c r="J13" s="153" t="s">
        <v>551</v>
      </c>
    </row>
    <row r="14" spans="1:79" ht="45" x14ac:dyDescent="0.25">
      <c r="A14" s="267"/>
      <c r="B14" s="268"/>
      <c r="C14" s="220" t="s">
        <v>571</v>
      </c>
      <c r="D14" s="221" t="s">
        <v>273</v>
      </c>
      <c r="E14" s="101" t="str">
        <f>VLOOKUP(E10,'Country Frequency Mappings(lic)'!A1:FV20,178,FALSE)</f>
        <v>G-900,G-1800,W-1 (2100),W-8 (900),L-3 (1800),L-7 (2600),NR-n12(700),NR-n77(3700)</v>
      </c>
      <c r="H14" s="160"/>
      <c r="I14" s="155" t="s">
        <v>487</v>
      </c>
      <c r="J14" s="156" t="s">
        <v>489</v>
      </c>
    </row>
    <row r="15" spans="1:79" ht="15" customHeight="1" x14ac:dyDescent="0.25">
      <c r="A15" s="263" t="s">
        <v>142</v>
      </c>
      <c r="B15" s="264"/>
      <c r="C15" s="221"/>
      <c r="D15" s="221" t="s">
        <v>262</v>
      </c>
      <c r="E15" s="105">
        <v>43581.5</v>
      </c>
      <c r="G15" s="150"/>
      <c r="H15" s="161">
        <f>IF(G15="",E15,G15)</f>
        <v>43581.5</v>
      </c>
      <c r="J15" s="153"/>
    </row>
    <row r="16" spans="1:79" ht="15" customHeight="1" x14ac:dyDescent="0.25">
      <c r="A16" s="267"/>
      <c r="B16" s="268"/>
      <c r="C16" s="221"/>
      <c r="D16" s="221" t="s">
        <v>263</v>
      </c>
      <c r="E16" s="106" t="s">
        <v>274</v>
      </c>
      <c r="G16" s="150"/>
      <c r="H16" s="162" t="str">
        <f>IF(G16="",E16,G16)</f>
        <v>-</v>
      </c>
      <c r="J16" s="153"/>
    </row>
    <row r="17" spans="1:79" ht="15" customHeight="1" x14ac:dyDescent="0.25">
      <c r="A17" s="261" t="s">
        <v>265</v>
      </c>
      <c r="B17" s="262"/>
      <c r="C17" s="42"/>
      <c r="D17" s="221" t="s">
        <v>500</v>
      </c>
      <c r="E17" s="114">
        <f>VLOOKUP(E4,Profiles!$A$3:$AK$27,37,FALSE)</f>
        <v>0.5</v>
      </c>
      <c r="G17" s="150"/>
      <c r="H17" s="162">
        <f>IF(G17="",E17,G17)</f>
        <v>0.5</v>
      </c>
      <c r="I17" s="223" t="s">
        <v>517</v>
      </c>
      <c r="J17" s="153" t="s">
        <v>499</v>
      </c>
    </row>
    <row r="18" spans="1:79" ht="15" customHeight="1" x14ac:dyDescent="0.25">
      <c r="A18" s="282"/>
      <c r="B18" s="283"/>
      <c r="C18" s="198" t="s">
        <v>576</v>
      </c>
      <c r="D18" s="226" t="s">
        <v>266</v>
      </c>
      <c r="E18" s="103">
        <f>VLOOKUP(E4,Profiles!$A$3:$AJ$27,3,FALSE)</f>
        <v>10000000</v>
      </c>
      <c r="G18" s="150"/>
      <c r="H18" s="160">
        <f t="shared" si="0"/>
        <v>10000000</v>
      </c>
      <c r="I18" s="223" t="s">
        <v>518</v>
      </c>
      <c r="J18" s="153"/>
    </row>
    <row r="19" spans="1:79" ht="15.75" x14ac:dyDescent="0.25">
      <c r="A19" s="282"/>
      <c r="B19" s="283"/>
      <c r="C19" s="199" t="s">
        <v>567</v>
      </c>
      <c r="D19" s="226" t="s">
        <v>267</v>
      </c>
      <c r="E19" s="103">
        <f>VLOOKUP(E4,Profiles!$A$3:$AJ$27,4,FALSE)</f>
        <v>10000000</v>
      </c>
      <c r="G19" s="150"/>
      <c r="H19" s="160">
        <f t="shared" si="0"/>
        <v>10000000</v>
      </c>
      <c r="I19" s="223" t="s">
        <v>519</v>
      </c>
      <c r="J19" s="153"/>
    </row>
    <row r="20" spans="1:79" ht="30" x14ac:dyDescent="0.25">
      <c r="A20" s="282"/>
      <c r="B20" s="283"/>
      <c r="C20" s="226" t="s">
        <v>574</v>
      </c>
      <c r="D20" s="221" t="s">
        <v>268</v>
      </c>
      <c r="E20" s="103">
        <f>VLOOKUP(E4,Profiles!$A$3:$AJ$27,5,FALSE)</f>
        <v>1</v>
      </c>
      <c r="G20" s="150"/>
      <c r="H20" s="160">
        <f t="shared" si="0"/>
        <v>1</v>
      </c>
      <c r="I20" s="223" t="s">
        <v>520</v>
      </c>
      <c r="J20" s="155" t="s">
        <v>555</v>
      </c>
    </row>
    <row r="21" spans="1:79" x14ac:dyDescent="0.25">
      <c r="A21" s="282"/>
      <c r="B21" s="283"/>
      <c r="C21" s="194"/>
      <c r="D21" s="226" t="s">
        <v>270</v>
      </c>
      <c r="E21" s="104">
        <f>ROUND((E13*E18)/(1024*1024),0)</f>
        <v>3</v>
      </c>
      <c r="G21" s="150"/>
      <c r="H21" s="163">
        <f t="shared" si="0"/>
        <v>3</v>
      </c>
      <c r="I21" s="223" t="s">
        <v>521</v>
      </c>
      <c r="J21" s="153" t="s">
        <v>556</v>
      </c>
    </row>
    <row r="22" spans="1:79" ht="15.75" x14ac:dyDescent="0.25">
      <c r="A22" s="284"/>
      <c r="B22" s="285"/>
      <c r="C22" s="193"/>
      <c r="D22" s="226" t="s">
        <v>271</v>
      </c>
      <c r="E22" s="104">
        <f>ROUND((E13*E19)/(1024*1024),0)</f>
        <v>3</v>
      </c>
      <c r="G22" s="150"/>
      <c r="H22" s="163">
        <f t="shared" si="0"/>
        <v>3</v>
      </c>
      <c r="I22" s="223" t="s">
        <v>522</v>
      </c>
      <c r="J22" s="153"/>
    </row>
    <row r="23" spans="1:79" ht="15" customHeight="1" x14ac:dyDescent="0.25">
      <c r="A23" s="269" t="s">
        <v>272</v>
      </c>
      <c r="B23" s="269"/>
      <c r="C23" s="270" t="s">
        <v>571</v>
      </c>
      <c r="D23" s="107" t="s">
        <v>309</v>
      </c>
      <c r="E23" s="119" t="s">
        <v>310</v>
      </c>
      <c r="G23" s="150"/>
      <c r="H23" s="160" t="str">
        <f t="shared" si="0"/>
        <v>35305519, 35305520</v>
      </c>
      <c r="I23" s="275" t="s">
        <v>573</v>
      </c>
      <c r="J23" s="275" t="s">
        <v>524</v>
      </c>
    </row>
    <row r="24" spans="1:79" ht="45" x14ac:dyDescent="0.25">
      <c r="A24" s="269"/>
      <c r="B24" s="269"/>
      <c r="C24" s="271"/>
      <c r="D24" s="197" t="s">
        <v>587</v>
      </c>
      <c r="E24" s="102" t="str">
        <f>VLOOKUP(35305519,'IMEI TAC Database'!A1:FF10,162,FALSE)</f>
        <v>L-1 (2100),L-2 (1900),L-3 (1800),L-4 (1700),L-5 (850),,L-8 (900),NR-n5(850),NR-n28(700),NR-n34(2100),NR-n40(2300),NR-n41(2500),NR-n78(3500)</v>
      </c>
      <c r="G24" s="223"/>
      <c r="H24" s="164"/>
      <c r="I24" s="275"/>
      <c r="J24" s="275"/>
    </row>
    <row r="25" spans="1:79" s="39" customFormat="1" ht="30" x14ac:dyDescent="0.25">
      <c r="A25" s="269"/>
      <c r="B25" s="269"/>
      <c r="C25" s="221" t="s">
        <v>575</v>
      </c>
      <c r="D25" s="221" t="s">
        <v>299</v>
      </c>
      <c r="E25" s="114" t="str">
        <f>VLOOKUP(E4,Profiles!$A$3:$AJ$27,6,FALSE)</f>
        <v>Yes</v>
      </c>
      <c r="G25" s="152"/>
      <c r="H25" s="160" t="str">
        <f t="shared" ref="H25:H54" si="1">IF(G25="",E25,G25)</f>
        <v>Yes</v>
      </c>
      <c r="I25" s="39" t="s">
        <v>512</v>
      </c>
      <c r="J25" s="224" t="s">
        <v>507</v>
      </c>
      <c r="K25" s="133"/>
    </row>
    <row r="26" spans="1:79" x14ac:dyDescent="0.25">
      <c r="A26" s="254" t="s">
        <v>566</v>
      </c>
      <c r="B26" s="254"/>
      <c r="C26" s="226" t="s">
        <v>306</v>
      </c>
      <c r="D26" s="226" t="s">
        <v>306</v>
      </c>
      <c r="E26" s="102" t="str">
        <f>VLOOKUP(E4,Profiles!$A$3:$AJ$28,27,FALSE)</f>
        <v>No</v>
      </c>
      <c r="G26" s="150"/>
      <c r="H26" s="161" t="str">
        <f>IF(G26="",E26,G26)</f>
        <v>No</v>
      </c>
      <c r="I26" s="223" t="s">
        <v>513</v>
      </c>
      <c r="J26" s="153"/>
    </row>
    <row r="27" spans="1:79" x14ac:dyDescent="0.25">
      <c r="A27" s="254"/>
      <c r="B27" s="254"/>
      <c r="C27" s="226" t="s">
        <v>217</v>
      </c>
      <c r="D27" s="226" t="s">
        <v>217</v>
      </c>
      <c r="E27" s="103" t="str">
        <f>VLOOKUP(E4,Profiles!$A$3:$AJ$27,21,FALSE)</f>
        <v>Yes</v>
      </c>
      <c r="G27" s="150"/>
      <c r="H27" s="161" t="str">
        <f t="shared" si="1"/>
        <v>Yes</v>
      </c>
      <c r="I27" s="223" t="s">
        <v>514</v>
      </c>
      <c r="J27" s="153"/>
    </row>
    <row r="28" spans="1:79" ht="14.25" customHeight="1" x14ac:dyDescent="0.25">
      <c r="A28" s="254"/>
      <c r="B28" s="254"/>
      <c r="C28" s="221" t="s">
        <v>281</v>
      </c>
      <c r="D28" s="221" t="s">
        <v>281</v>
      </c>
      <c r="E28" s="102" t="s">
        <v>274</v>
      </c>
      <c r="G28" s="150"/>
      <c r="H28" s="161" t="str">
        <f t="shared" si="1"/>
        <v>-</v>
      </c>
      <c r="I28" s="223" t="s">
        <v>554</v>
      </c>
      <c r="J28" s="153"/>
    </row>
    <row r="29" spans="1:79" s="39" customFormat="1" ht="90" x14ac:dyDescent="0.25">
      <c r="A29" s="254"/>
      <c r="B29" s="254"/>
      <c r="C29" s="196" t="s">
        <v>572</v>
      </c>
      <c r="D29" s="41" t="s">
        <v>305</v>
      </c>
      <c r="E29" s="102" t="str">
        <f>VLOOKUP(E4,Profiles!$A$3:$AJ$27,33,FALSE)</f>
        <v>Same SST SD</v>
      </c>
      <c r="G29" s="152"/>
      <c r="H29" s="161" t="str">
        <f t="shared" si="1"/>
        <v>Same SST SD</v>
      </c>
      <c r="I29" s="39" t="s">
        <v>516</v>
      </c>
      <c r="J29" s="224" t="s">
        <v>563</v>
      </c>
      <c r="K29" s="133"/>
      <c r="S29" s="133"/>
      <c r="T29" s="133"/>
      <c r="U29" s="133"/>
      <c r="V29" s="133"/>
      <c r="W29" s="133"/>
      <c r="X29" s="133"/>
      <c r="Y29" s="133"/>
      <c r="Z29" s="133"/>
      <c r="AA29" s="133"/>
      <c r="AB29" s="133"/>
      <c r="AC29" s="133"/>
      <c r="AD29" s="133"/>
      <c r="AE29" s="133"/>
      <c r="AF29" s="133"/>
      <c r="AG29" s="133"/>
      <c r="AH29" s="133"/>
      <c r="AI29" s="133"/>
      <c r="AJ29" s="133"/>
      <c r="AK29" s="133"/>
      <c r="AL29" s="133"/>
      <c r="AM29" s="133"/>
      <c r="AN29" s="133"/>
      <c r="AO29" s="133"/>
      <c r="AP29" s="133"/>
      <c r="AQ29" s="133"/>
      <c r="AR29" s="133"/>
      <c r="AS29" s="133"/>
      <c r="AT29" s="133"/>
      <c r="AU29" s="133"/>
      <c r="AV29" s="133"/>
      <c r="AW29" s="133"/>
      <c r="AX29" s="133"/>
      <c r="AY29" s="133"/>
      <c r="AZ29" s="133"/>
      <c r="BA29" s="133"/>
      <c r="BB29" s="133"/>
      <c r="BC29" s="133"/>
      <c r="BD29" s="133"/>
      <c r="BE29" s="133"/>
      <c r="BF29" s="133"/>
      <c r="BG29" s="133"/>
      <c r="BH29" s="133"/>
      <c r="BI29" s="133"/>
      <c r="BJ29" s="133"/>
      <c r="BK29" s="133"/>
      <c r="BL29" s="133"/>
      <c r="BM29" s="133"/>
      <c r="BN29" s="133"/>
      <c r="BO29" s="133"/>
      <c r="BP29" s="133"/>
      <c r="BQ29" s="133"/>
      <c r="BR29" s="133"/>
      <c r="BS29" s="133"/>
      <c r="BT29" s="133"/>
      <c r="BU29" s="133"/>
      <c r="BV29" s="133"/>
      <c r="BW29" s="133"/>
      <c r="BX29" s="133"/>
      <c r="BY29" s="133"/>
      <c r="BZ29" s="133"/>
      <c r="CA29" s="133"/>
    </row>
    <row r="30" spans="1:79" x14ac:dyDescent="0.25">
      <c r="A30" s="254"/>
      <c r="B30" s="254"/>
      <c r="C30" s="107" t="s">
        <v>278</v>
      </c>
      <c r="D30" s="107" t="s">
        <v>278</v>
      </c>
      <c r="E30" s="102" t="str">
        <f>VLOOKUP(E4,Profiles!$A$3:$AJ$27,15,FALSE)</f>
        <v>No</v>
      </c>
      <c r="G30" s="150"/>
      <c r="H30" s="161" t="str">
        <f t="shared" si="1"/>
        <v>No</v>
      </c>
      <c r="I30" s="223" t="s">
        <v>515</v>
      </c>
      <c r="J30" s="153"/>
    </row>
    <row r="31" spans="1:79" x14ac:dyDescent="0.25">
      <c r="A31" s="254"/>
      <c r="B31" s="254"/>
      <c r="C31" s="221" t="s">
        <v>208</v>
      </c>
      <c r="D31" s="221" t="s">
        <v>208</v>
      </c>
      <c r="E31" s="102" t="s">
        <v>274</v>
      </c>
      <c r="G31" s="150"/>
      <c r="H31" s="161" t="str">
        <f t="shared" si="1"/>
        <v>-</v>
      </c>
      <c r="I31" s="223" t="s">
        <v>552</v>
      </c>
      <c r="J31" s="156" t="s">
        <v>550</v>
      </c>
    </row>
    <row r="32" spans="1:79" x14ac:dyDescent="0.25">
      <c r="A32" s="254"/>
      <c r="B32" s="254"/>
      <c r="C32" s="226" t="s">
        <v>557</v>
      </c>
      <c r="D32" s="221" t="s">
        <v>557</v>
      </c>
      <c r="E32" s="102"/>
      <c r="G32" s="150"/>
      <c r="H32" s="161"/>
      <c r="I32" s="223" t="s">
        <v>552</v>
      </c>
      <c r="J32" s="156" t="s">
        <v>558</v>
      </c>
    </row>
    <row r="33" spans="1:11" ht="15" customHeight="1" x14ac:dyDescent="0.25">
      <c r="A33" s="254"/>
      <c r="B33" s="254"/>
      <c r="C33" s="226" t="s">
        <v>574</v>
      </c>
      <c r="D33" s="221" t="s">
        <v>280</v>
      </c>
      <c r="E33" s="145">
        <f>VLOOKUP(E4,Profiles!$A$3:$AJ$27,35,FALSE)</f>
        <v>3</v>
      </c>
      <c r="G33" s="150"/>
      <c r="H33" s="162">
        <f t="shared" si="1"/>
        <v>3</v>
      </c>
      <c r="I33" s="223" t="s">
        <v>553</v>
      </c>
      <c r="J33" s="153"/>
    </row>
    <row r="34" spans="1:11" ht="15" customHeight="1" x14ac:dyDescent="0.25">
      <c r="A34" s="254"/>
      <c r="B34" s="254"/>
      <c r="C34" s="221" t="s">
        <v>215</v>
      </c>
      <c r="D34" s="221" t="s">
        <v>215</v>
      </c>
      <c r="E34" s="102" t="str">
        <f>VLOOKUP(E4,Profiles!$A$3:$AJ$27,19,FALSE)</f>
        <v>No</v>
      </c>
      <c r="G34" s="150"/>
      <c r="H34" s="161" t="str">
        <f t="shared" si="1"/>
        <v>No</v>
      </c>
      <c r="I34" s="156" t="s">
        <v>486</v>
      </c>
      <c r="J34" s="153"/>
    </row>
    <row r="35" spans="1:11" x14ac:dyDescent="0.25">
      <c r="A35" s="254"/>
      <c r="B35" s="254"/>
      <c r="C35" s="221" t="s">
        <v>279</v>
      </c>
      <c r="D35" s="221" t="s">
        <v>279</v>
      </c>
      <c r="E35" s="102" t="str">
        <f>VLOOKUP(E4,Profiles!$A$3:$AJ$27,11,FALSE)</f>
        <v>Yes</v>
      </c>
      <c r="G35" s="150"/>
      <c r="H35" s="161" t="str">
        <f t="shared" si="1"/>
        <v>Yes</v>
      </c>
      <c r="I35" s="156" t="s">
        <v>485</v>
      </c>
      <c r="J35" s="153"/>
    </row>
    <row r="36" spans="1:11" ht="45" x14ac:dyDescent="0.25">
      <c r="A36" s="254"/>
      <c r="B36" s="254"/>
      <c r="C36" s="221" t="s">
        <v>559</v>
      </c>
      <c r="D36" s="221" t="s">
        <v>559</v>
      </c>
      <c r="E36" s="102" t="str">
        <f>VLOOKUP(E4,Profiles!$A$3:$AJ$27,25,FALSE)</f>
        <v>No</v>
      </c>
      <c r="G36" s="150"/>
      <c r="H36" s="161"/>
      <c r="I36" s="224" t="s">
        <v>561</v>
      </c>
      <c r="J36" s="155" t="s">
        <v>564</v>
      </c>
    </row>
    <row r="37" spans="1:11" ht="45" x14ac:dyDescent="0.25">
      <c r="A37" s="254"/>
      <c r="B37" s="254"/>
      <c r="C37" s="221" t="s">
        <v>560</v>
      </c>
      <c r="D37" s="221" t="s">
        <v>560</v>
      </c>
      <c r="E37" s="102" t="str">
        <f>VLOOKUP(E4,Profiles!$A$3:$AJ$27,24,FALSE)</f>
        <v>SSC3</v>
      </c>
      <c r="G37" s="150"/>
      <c r="H37" s="161"/>
      <c r="I37" s="156" t="s">
        <v>562</v>
      </c>
      <c r="J37" s="155" t="s">
        <v>565</v>
      </c>
    </row>
    <row r="38" spans="1:11" ht="30" x14ac:dyDescent="0.25">
      <c r="A38" s="263" t="s">
        <v>582</v>
      </c>
      <c r="B38" s="264"/>
      <c r="C38" s="272" t="s">
        <v>577</v>
      </c>
      <c r="D38" s="221" t="s">
        <v>577</v>
      </c>
      <c r="E38" s="102" t="str">
        <f>VLOOKUP(E4,Profiles!$A$3:$AP$27,42,FALSE)</f>
        <v>Termination in private network</v>
      </c>
      <c r="G38" s="150"/>
      <c r="H38" s="161" t="str">
        <f t="shared" ref="H38:H39" si="2">IF(G38="",E38,G38)</f>
        <v>Termination in private network</v>
      </c>
      <c r="I38" s="224" t="s">
        <v>581</v>
      </c>
      <c r="J38" s="155"/>
    </row>
    <row r="39" spans="1:11" ht="30" x14ac:dyDescent="0.25">
      <c r="A39" s="267"/>
      <c r="B39" s="268"/>
      <c r="C39" s="273"/>
      <c r="D39" s="221" t="s">
        <v>583</v>
      </c>
      <c r="E39" s="102" t="str">
        <f>VLOOKUP(E4,Profiles!$A$3:$AQ$27,43,FALSE)</f>
        <v>GRE</v>
      </c>
      <c r="G39" s="150"/>
      <c r="H39" s="161" t="str">
        <f t="shared" si="2"/>
        <v>GRE</v>
      </c>
      <c r="I39" s="224" t="s">
        <v>581</v>
      </c>
      <c r="J39" s="155"/>
    </row>
    <row r="40" spans="1:11" s="227" customFormat="1" ht="15" customHeight="1" x14ac:dyDescent="0.25">
      <c r="A40" s="286" t="s">
        <v>297</v>
      </c>
      <c r="B40" s="286"/>
      <c r="C40" s="221" t="s">
        <v>575</v>
      </c>
      <c r="D40" s="226" t="s">
        <v>304</v>
      </c>
      <c r="E40" s="99">
        <f>IF(VLOOKUP(E4,Profiles!$A$3:$AH$27,6,FALSE)="Yes",VLOOKUP(E4,Profiles!$A$3:$AH$27,7,FALSE),"-")</f>
        <v>500</v>
      </c>
      <c r="G40" s="150"/>
      <c r="H40" s="160">
        <f t="shared" si="1"/>
        <v>500</v>
      </c>
      <c r="I40" s="153" t="s">
        <v>484</v>
      </c>
      <c r="J40" s="156" t="s">
        <v>483</v>
      </c>
      <c r="K40" s="133"/>
    </row>
    <row r="41" spans="1:11" ht="15" customHeight="1" x14ac:dyDescent="0.25">
      <c r="A41" s="276" t="s">
        <v>298</v>
      </c>
      <c r="B41" s="277"/>
      <c r="C41" s="195" t="s">
        <v>217</v>
      </c>
      <c r="D41" s="41" t="s">
        <v>300</v>
      </c>
      <c r="E41" s="135" t="str">
        <f>IF(VLOOKUP(E4,Profiles!$A$3:$AJ$27,21,FALSE)="Yes",VLOOKUP(E4,Profiles!$A$3:$AH$27,22,FALSE),"-")</f>
        <v>NR_E-UTRA</v>
      </c>
      <c r="G41" s="150"/>
      <c r="H41" s="161" t="str">
        <f t="shared" si="1"/>
        <v>NR_E-UTRA</v>
      </c>
      <c r="I41" s="223" t="s">
        <v>300</v>
      </c>
      <c r="J41" s="153" t="s">
        <v>508</v>
      </c>
    </row>
    <row r="42" spans="1:11" x14ac:dyDescent="0.25">
      <c r="A42" s="278"/>
      <c r="B42" s="279"/>
      <c r="C42" s="41" t="s">
        <v>275</v>
      </c>
      <c r="D42" s="41" t="s">
        <v>275</v>
      </c>
      <c r="E42" s="114" t="str">
        <f>IF(VLOOKUP(E4,Profiles!$A$3:$AJ$27,21,FALSE)="Yes",VLOOKUP(E4,Profiles!$A$3:$AH$27,34,FALSE),"-")</f>
        <v>BS-UE-UE</v>
      </c>
      <c r="G42" s="150"/>
      <c r="H42" s="161" t="str">
        <f t="shared" si="1"/>
        <v>BS-UE-UE</v>
      </c>
      <c r="I42" s="223" t="s">
        <v>589</v>
      </c>
      <c r="J42" s="153"/>
    </row>
    <row r="43" spans="1:11" ht="15" customHeight="1" x14ac:dyDescent="0.25">
      <c r="A43" s="261" t="s">
        <v>317</v>
      </c>
      <c r="B43" s="262"/>
      <c r="C43" s="270" t="s">
        <v>279</v>
      </c>
      <c r="D43" s="41" t="s">
        <v>336</v>
      </c>
      <c r="E43" s="102" t="str">
        <f>IF(VLOOKUP(E4,Profiles!$A$3:$AJ$27,11,FALSE)="Yes",VLOOKUP(E4,Profiles!$A$3:$AJ$27,12,FALSE),"-")</f>
        <v>Hybrid positioning</v>
      </c>
      <c r="G43" s="150"/>
      <c r="H43" s="161" t="str">
        <f t="shared" si="1"/>
        <v>Hybrid positioning</v>
      </c>
      <c r="I43" s="223" t="s">
        <v>509</v>
      </c>
      <c r="J43" s="153"/>
    </row>
    <row r="44" spans="1:11" ht="15" customHeight="1" x14ac:dyDescent="0.25">
      <c r="A44" s="282"/>
      <c r="B44" s="283"/>
      <c r="C44" s="287"/>
      <c r="D44" s="41" t="s">
        <v>338</v>
      </c>
      <c r="E44" s="134">
        <f>IF(VLOOKUP(E4,Profiles!$A$3:$AJ$27,11,FALSE)="Yes",VLOOKUP(E4,Profiles!$A$3:$AJ$27,13,FALSE),"-")</f>
        <v>0.1</v>
      </c>
      <c r="G44" s="150"/>
      <c r="H44" s="165">
        <f t="shared" si="1"/>
        <v>0.1</v>
      </c>
      <c r="I44" s="223" t="s">
        <v>510</v>
      </c>
      <c r="J44" s="153"/>
    </row>
    <row r="45" spans="1:11" x14ac:dyDescent="0.25">
      <c r="A45" s="284"/>
      <c r="B45" s="285"/>
      <c r="C45" s="271"/>
      <c r="D45" s="41" t="s">
        <v>337</v>
      </c>
      <c r="E45" s="114">
        <f>IF(VLOOKUP(E4,Profiles!$A$3:$AJ$27,11,FALSE)="Yes",VLOOKUP(E4,Profiles!$A$3:$AJ$27,14,FALSE),"-")</f>
        <v>0.5</v>
      </c>
      <c r="G45" s="150"/>
      <c r="H45" s="162">
        <f t="shared" si="1"/>
        <v>0.5</v>
      </c>
      <c r="I45" s="223" t="s">
        <v>511</v>
      </c>
      <c r="J45" s="153"/>
    </row>
    <row r="46" spans="1:11" ht="15" customHeight="1" x14ac:dyDescent="0.25">
      <c r="A46" s="261" t="s">
        <v>329</v>
      </c>
      <c r="B46" s="262"/>
      <c r="C46" s="270" t="s">
        <v>306</v>
      </c>
      <c r="D46" s="41" t="s">
        <v>332</v>
      </c>
      <c r="E46" s="114" t="str">
        <f>IF(VLOOKUP(E4,Profiles!$A$3:$AJ$28,27,FALSE)="Yes",VLOOKUP(E4,Profiles!$A$3:$AH$28,28,FALSE),"-")</f>
        <v>-</v>
      </c>
      <c r="G46" s="150"/>
      <c r="H46" s="161" t="str">
        <f t="shared" si="1"/>
        <v>-</v>
      </c>
      <c r="I46" s="223" t="s">
        <v>506</v>
      </c>
      <c r="J46" s="153"/>
    </row>
    <row r="47" spans="1:11" ht="30" x14ac:dyDescent="0.25">
      <c r="A47" s="284"/>
      <c r="B47" s="285"/>
      <c r="C47" s="271"/>
      <c r="D47" s="41" t="s">
        <v>333</v>
      </c>
      <c r="E47" s="114" t="str">
        <f>IF(VLOOKUP(E4,Profiles!$A$3:$AJ$28,27,FALSE)="Yes",VLOOKUP(E4,Profiles!$A$3:$AJ$27,29,FALSE),"-")</f>
        <v>-</v>
      </c>
      <c r="G47" s="150"/>
      <c r="H47" s="161" t="str">
        <f t="shared" si="1"/>
        <v>-</v>
      </c>
      <c r="I47" s="154" t="s">
        <v>525</v>
      </c>
      <c r="J47" s="155" t="s">
        <v>502</v>
      </c>
    </row>
    <row r="48" spans="1:11" x14ac:dyDescent="0.25">
      <c r="A48" s="254" t="s">
        <v>473</v>
      </c>
      <c r="B48" s="254"/>
      <c r="C48" s="221" t="s">
        <v>278</v>
      </c>
      <c r="D48" s="221" t="s">
        <v>474</v>
      </c>
      <c r="E48" s="135" t="str">
        <f>IF(VLOOKUP(E4,Profiles!$A$3:$AJ$27,15,FALSE)="Yes",VLOOKUP(E4,Profiles!$A$3:$AJ$27,16,FALSE),"-")</f>
        <v>-</v>
      </c>
      <c r="G48" s="150"/>
      <c r="H48" s="161" t="str">
        <f t="shared" si="1"/>
        <v>-</v>
      </c>
      <c r="I48" s="223" t="s">
        <v>503</v>
      </c>
      <c r="J48" s="153"/>
    </row>
    <row r="49" spans="1:79" ht="45" x14ac:dyDescent="0.25">
      <c r="A49" s="254"/>
      <c r="B49" s="254"/>
      <c r="C49" s="221" t="s">
        <v>475</v>
      </c>
      <c r="D49" s="221" t="s">
        <v>475</v>
      </c>
      <c r="E49" s="135" t="str">
        <f>IF(VLOOKUP(E4,Profiles!$A$3:$AJ$27,15,FALSE)="Yes",VLOOKUP(E4,Profiles!$A$3:$AJ$27,18,FALSE),"-")</f>
        <v>-</v>
      </c>
      <c r="G49" s="150"/>
      <c r="H49" s="161" t="str">
        <f t="shared" si="1"/>
        <v>-</v>
      </c>
      <c r="I49" s="39" t="s">
        <v>504</v>
      </c>
      <c r="J49" s="155" t="s">
        <v>505</v>
      </c>
    </row>
    <row r="50" spans="1:79" x14ac:dyDescent="0.25">
      <c r="A50" s="261" t="s">
        <v>532</v>
      </c>
      <c r="B50" s="262"/>
      <c r="C50" s="222"/>
      <c r="D50" s="171" t="s">
        <v>535</v>
      </c>
      <c r="E50" s="135" t="str">
        <f>VLOOKUP(E4,Profiles!$A$3:$AO$27,41,FALSE)</f>
        <v>Yes</v>
      </c>
      <c r="F50" s="173"/>
      <c r="G50" s="176"/>
      <c r="H50" s="161" t="str">
        <f t="shared" si="1"/>
        <v>Yes</v>
      </c>
      <c r="I50" s="177" t="s">
        <v>548</v>
      </c>
      <c r="J50" s="174"/>
      <c r="S50" s="223"/>
      <c r="T50" s="223"/>
      <c r="U50" s="223"/>
      <c r="V50" s="223"/>
      <c r="W50" s="223"/>
      <c r="X50" s="223"/>
      <c r="Y50" s="223"/>
      <c r="Z50" s="223"/>
      <c r="AA50" s="223"/>
      <c r="AB50" s="223"/>
      <c r="AC50" s="223"/>
      <c r="AD50" s="223"/>
      <c r="AE50" s="223"/>
      <c r="AF50" s="223"/>
      <c r="AG50" s="223"/>
      <c r="AH50" s="223"/>
      <c r="AI50" s="223"/>
      <c r="AJ50" s="223"/>
      <c r="AK50" s="223"/>
      <c r="AL50" s="223"/>
      <c r="AM50" s="223"/>
      <c r="AN50" s="223"/>
      <c r="AO50" s="223"/>
      <c r="AP50" s="223"/>
      <c r="AQ50" s="223"/>
      <c r="AR50" s="223"/>
      <c r="AS50" s="223"/>
      <c r="AT50" s="223"/>
      <c r="AU50" s="223"/>
      <c r="AV50" s="223"/>
      <c r="AW50" s="223"/>
      <c r="AX50" s="223"/>
      <c r="AY50" s="223"/>
      <c r="AZ50" s="223"/>
      <c r="BA50" s="223"/>
      <c r="BB50" s="223"/>
      <c r="BC50" s="223"/>
      <c r="BD50" s="223"/>
      <c r="BE50" s="223"/>
      <c r="BF50" s="223"/>
      <c r="BG50" s="223"/>
      <c r="BH50" s="223"/>
      <c r="BI50" s="223"/>
      <c r="BJ50" s="223"/>
      <c r="BK50" s="223"/>
      <c r="BL50" s="223"/>
      <c r="BM50" s="223"/>
      <c r="BN50" s="223"/>
      <c r="BO50" s="223"/>
      <c r="BP50" s="223"/>
      <c r="BQ50" s="223"/>
      <c r="BR50" s="223"/>
      <c r="BS50" s="223"/>
      <c r="BT50" s="223"/>
      <c r="BU50" s="223"/>
      <c r="BV50" s="223"/>
      <c r="BW50" s="223"/>
      <c r="BX50" s="223"/>
      <c r="BY50" s="223"/>
      <c r="BZ50" s="223"/>
      <c r="CA50" s="223"/>
    </row>
    <row r="51" spans="1:79" ht="15" customHeight="1" x14ac:dyDescent="0.25">
      <c r="A51" s="263" t="s">
        <v>541</v>
      </c>
      <c r="B51" s="264"/>
      <c r="C51" s="221" t="s">
        <v>531</v>
      </c>
      <c r="D51" s="221" t="s">
        <v>531</v>
      </c>
      <c r="E51" s="135" t="s">
        <v>538</v>
      </c>
      <c r="F51" s="179"/>
      <c r="G51" s="152"/>
      <c r="H51" s="161" t="str">
        <f t="shared" si="1"/>
        <v>n/a</v>
      </c>
      <c r="I51" s="186" t="s">
        <v>547</v>
      </c>
      <c r="S51" s="223"/>
      <c r="T51" s="223"/>
      <c r="U51" s="223"/>
      <c r="V51" s="223"/>
      <c r="W51" s="223"/>
      <c r="X51" s="223"/>
      <c r="Y51" s="223"/>
      <c r="Z51" s="223"/>
      <c r="AA51" s="223"/>
      <c r="AB51" s="223"/>
      <c r="AC51" s="223"/>
      <c r="AD51" s="223"/>
      <c r="AE51" s="223"/>
      <c r="AF51" s="223"/>
      <c r="AG51" s="223"/>
      <c r="AH51" s="223"/>
      <c r="AI51" s="223"/>
      <c r="AJ51" s="223"/>
      <c r="AK51" s="223"/>
      <c r="AL51" s="223"/>
      <c r="AM51" s="223"/>
      <c r="AN51" s="223"/>
      <c r="AO51" s="223"/>
      <c r="AP51" s="223"/>
      <c r="AQ51" s="223"/>
      <c r="AR51" s="223"/>
      <c r="AS51" s="223"/>
      <c r="AT51" s="223"/>
      <c r="AU51" s="223"/>
      <c r="AV51" s="223"/>
      <c r="AW51" s="223"/>
      <c r="AX51" s="223"/>
      <c r="AY51" s="223"/>
      <c r="AZ51" s="223"/>
      <c r="BA51" s="223"/>
      <c r="BB51" s="223"/>
      <c r="BC51" s="223"/>
      <c r="BD51" s="223"/>
      <c r="BE51" s="223"/>
      <c r="BF51" s="223"/>
      <c r="BG51" s="223"/>
      <c r="BH51" s="223"/>
      <c r="BI51" s="223"/>
      <c r="BJ51" s="223"/>
      <c r="BK51" s="223"/>
      <c r="BL51" s="223"/>
      <c r="BM51" s="223"/>
      <c r="BN51" s="223"/>
      <c r="BO51" s="223"/>
      <c r="BP51" s="223"/>
      <c r="BQ51" s="223"/>
      <c r="BR51" s="223"/>
      <c r="BS51" s="223"/>
      <c r="BT51" s="223"/>
      <c r="BU51" s="223"/>
      <c r="BV51" s="223"/>
      <c r="BW51" s="223"/>
      <c r="BX51" s="223"/>
      <c r="BY51" s="223"/>
      <c r="BZ51" s="223"/>
      <c r="CA51" s="223"/>
    </row>
    <row r="52" spans="1:79" ht="15" customHeight="1" x14ac:dyDescent="0.25">
      <c r="A52" s="265"/>
      <c r="B52" s="266"/>
      <c r="C52" s="221" t="s">
        <v>540</v>
      </c>
      <c r="D52" s="221" t="s">
        <v>540</v>
      </c>
      <c r="E52" s="135" t="s">
        <v>538</v>
      </c>
      <c r="F52" s="179"/>
      <c r="G52" s="152"/>
      <c r="H52" s="161" t="str">
        <f t="shared" si="1"/>
        <v>n/a</v>
      </c>
      <c r="I52" s="186" t="s">
        <v>546</v>
      </c>
      <c r="S52" s="223"/>
      <c r="T52" s="223"/>
      <c r="U52" s="223"/>
      <c r="V52" s="223"/>
      <c r="W52" s="223"/>
      <c r="X52" s="223"/>
      <c r="Y52" s="223"/>
      <c r="Z52" s="223"/>
      <c r="AA52" s="223"/>
      <c r="AB52" s="223"/>
      <c r="AC52" s="223"/>
      <c r="AD52" s="223"/>
      <c r="AE52" s="223"/>
      <c r="AF52" s="223"/>
      <c r="AG52" s="223"/>
      <c r="AH52" s="223"/>
      <c r="AI52" s="223"/>
      <c r="AJ52" s="223"/>
      <c r="AK52" s="223"/>
      <c r="AL52" s="223"/>
      <c r="AM52" s="223"/>
      <c r="AN52" s="223"/>
      <c r="AO52" s="223"/>
      <c r="AP52" s="223"/>
      <c r="AQ52" s="223"/>
      <c r="AR52" s="223"/>
      <c r="AS52" s="223"/>
      <c r="AT52" s="223"/>
      <c r="AU52" s="223"/>
      <c r="AV52" s="223"/>
      <c r="AW52" s="223"/>
      <c r="AX52" s="223"/>
      <c r="AY52" s="223"/>
      <c r="AZ52" s="223"/>
      <c r="BA52" s="223"/>
      <c r="BB52" s="223"/>
      <c r="BC52" s="223"/>
      <c r="BD52" s="223"/>
      <c r="BE52" s="223"/>
      <c r="BF52" s="223"/>
      <c r="BG52" s="223"/>
      <c r="BH52" s="223"/>
      <c r="BI52" s="223"/>
      <c r="BJ52" s="223"/>
      <c r="BK52" s="223"/>
      <c r="BL52" s="223"/>
      <c r="BM52" s="223"/>
      <c r="BN52" s="223"/>
      <c r="BO52" s="223"/>
      <c r="BP52" s="223"/>
      <c r="BQ52" s="223"/>
      <c r="BR52" s="223"/>
      <c r="BS52" s="223"/>
      <c r="BT52" s="223"/>
      <c r="BU52" s="223"/>
      <c r="BV52" s="223"/>
      <c r="BW52" s="223"/>
      <c r="BX52" s="223"/>
      <c r="BY52" s="223"/>
      <c r="BZ52" s="223"/>
      <c r="CA52" s="223"/>
    </row>
    <row r="53" spans="1:79" ht="28.5" x14ac:dyDescent="0.25">
      <c r="A53" s="265"/>
      <c r="B53" s="266"/>
      <c r="C53" s="221" t="s">
        <v>570</v>
      </c>
      <c r="D53" s="221" t="s">
        <v>545</v>
      </c>
      <c r="E53" s="135" t="str">
        <f>VLOOKUP(E4,Profiles!$A$3:$AO$27,39,FALSE)</f>
        <v>No</v>
      </c>
      <c r="F53" s="174"/>
      <c r="G53" s="150"/>
      <c r="H53" s="161" t="str">
        <f t="shared" si="1"/>
        <v>No</v>
      </c>
      <c r="I53" s="180" t="s">
        <v>543</v>
      </c>
      <c r="J53" s="39" t="s">
        <v>544</v>
      </c>
      <c r="S53" s="223"/>
      <c r="T53" s="223"/>
      <c r="U53" s="223"/>
      <c r="V53" s="223"/>
      <c r="W53" s="223"/>
      <c r="X53" s="223"/>
      <c r="Y53" s="223"/>
      <c r="Z53" s="223"/>
      <c r="AA53" s="223"/>
      <c r="AB53" s="223"/>
      <c r="AC53" s="223"/>
      <c r="AD53" s="223"/>
      <c r="AE53" s="223"/>
      <c r="AF53" s="223"/>
      <c r="AG53" s="223"/>
      <c r="AH53" s="223"/>
      <c r="AI53" s="223"/>
      <c r="AJ53" s="223"/>
      <c r="AK53" s="223"/>
      <c r="AL53" s="223"/>
      <c r="AM53" s="223"/>
      <c r="AN53" s="223"/>
      <c r="AO53" s="223"/>
      <c r="AP53" s="223"/>
      <c r="AQ53" s="223"/>
      <c r="AR53" s="223"/>
      <c r="AS53" s="223"/>
      <c r="AT53" s="223"/>
      <c r="AU53" s="223"/>
      <c r="AV53" s="223"/>
      <c r="AW53" s="223"/>
      <c r="AX53" s="223"/>
      <c r="AY53" s="223"/>
      <c r="AZ53" s="223"/>
      <c r="BA53" s="223"/>
      <c r="BB53" s="223"/>
      <c r="BC53" s="223"/>
      <c r="BD53" s="223"/>
      <c r="BE53" s="223"/>
      <c r="BF53" s="223"/>
      <c r="BG53" s="223"/>
      <c r="BH53" s="223"/>
      <c r="BI53" s="223"/>
      <c r="BJ53" s="223"/>
      <c r="BK53" s="223"/>
      <c r="BL53" s="223"/>
      <c r="BM53" s="223"/>
      <c r="BN53" s="223"/>
      <c r="BO53" s="223"/>
      <c r="BP53" s="223"/>
      <c r="BQ53" s="223"/>
      <c r="BR53" s="223"/>
      <c r="BS53" s="223"/>
      <c r="BT53" s="223"/>
      <c r="BU53" s="223"/>
      <c r="BV53" s="223"/>
      <c r="BW53" s="223"/>
      <c r="BX53" s="223"/>
      <c r="BY53" s="223"/>
      <c r="BZ53" s="223"/>
      <c r="CA53" s="223"/>
    </row>
    <row r="54" spans="1:79" ht="30" x14ac:dyDescent="0.25">
      <c r="A54" s="267"/>
      <c r="B54" s="268"/>
      <c r="C54" s="41" t="s">
        <v>569</v>
      </c>
      <c r="D54" s="41" t="s">
        <v>569</v>
      </c>
      <c r="E54" s="135" t="str">
        <f>VLOOKUP(E4,Profiles!$A$3:$AO$27,40,FALSE)</f>
        <v>Active</v>
      </c>
      <c r="F54" s="174"/>
      <c r="G54" s="150"/>
      <c r="H54" s="161" t="str">
        <f t="shared" si="1"/>
        <v>Active</v>
      </c>
      <c r="I54" s="178" t="s">
        <v>542</v>
      </c>
      <c r="J54" s="178" t="s">
        <v>537</v>
      </c>
      <c r="S54" s="223"/>
      <c r="T54" s="223"/>
      <c r="U54" s="223"/>
      <c r="V54" s="223"/>
      <c r="W54" s="223"/>
      <c r="X54" s="223"/>
      <c r="Y54" s="223"/>
      <c r="Z54" s="223"/>
      <c r="AA54" s="223"/>
      <c r="AB54" s="223"/>
      <c r="AC54" s="223"/>
      <c r="AD54" s="223"/>
      <c r="AE54" s="223"/>
      <c r="AF54" s="223"/>
      <c r="AG54" s="223"/>
      <c r="AH54" s="223"/>
      <c r="AI54" s="223"/>
      <c r="AJ54" s="223"/>
      <c r="AK54" s="223"/>
      <c r="AL54" s="223"/>
      <c r="AM54" s="223"/>
      <c r="AN54" s="223"/>
      <c r="AO54" s="223"/>
      <c r="AP54" s="223"/>
      <c r="AQ54" s="223"/>
      <c r="AR54" s="223"/>
      <c r="AS54" s="223"/>
      <c r="AT54" s="223"/>
      <c r="AU54" s="223"/>
      <c r="AV54" s="223"/>
      <c r="AW54" s="223"/>
      <c r="AX54" s="223"/>
      <c r="AY54" s="223"/>
      <c r="AZ54" s="223"/>
      <c r="BA54" s="223"/>
      <c r="BB54" s="223"/>
      <c r="BC54" s="223"/>
      <c r="BD54" s="223"/>
      <c r="BE54" s="223"/>
      <c r="BF54" s="223"/>
      <c r="BG54" s="223"/>
      <c r="BH54" s="223"/>
      <c r="BI54" s="223"/>
      <c r="BJ54" s="223"/>
      <c r="BK54" s="223"/>
      <c r="BL54" s="223"/>
      <c r="BM54" s="223"/>
      <c r="BN54" s="223"/>
      <c r="BO54" s="223"/>
      <c r="BP54" s="223"/>
      <c r="BQ54" s="223"/>
      <c r="BR54" s="223"/>
      <c r="BS54" s="223"/>
      <c r="BT54" s="223"/>
      <c r="BU54" s="223"/>
      <c r="BV54" s="223"/>
      <c r="BW54" s="223"/>
      <c r="BX54" s="223"/>
      <c r="BY54" s="223"/>
      <c r="BZ54" s="223"/>
      <c r="CA54" s="223"/>
    </row>
    <row r="55" spans="1:79" ht="30" x14ac:dyDescent="0.25">
      <c r="A55" s="269" t="s">
        <v>530</v>
      </c>
      <c r="B55" s="269"/>
      <c r="C55" s="221" t="s">
        <v>568</v>
      </c>
      <c r="D55" s="41" t="s">
        <v>549</v>
      </c>
      <c r="E55" s="175"/>
      <c r="F55" s="173"/>
      <c r="G55" s="172"/>
      <c r="H55" s="217" t="s">
        <v>274</v>
      </c>
      <c r="I55" s="154" t="s">
        <v>590</v>
      </c>
      <c r="J55" s="181"/>
      <c r="S55" s="223"/>
      <c r="T55" s="223"/>
      <c r="U55" s="223"/>
      <c r="V55" s="223"/>
      <c r="W55" s="223"/>
      <c r="X55" s="223"/>
      <c r="Y55" s="223"/>
      <c r="Z55" s="223"/>
      <c r="AA55" s="223"/>
      <c r="AB55" s="223"/>
      <c r="AC55" s="223"/>
      <c r="AD55" s="223"/>
      <c r="AE55" s="223"/>
      <c r="AF55" s="223"/>
      <c r="AG55" s="223"/>
      <c r="AH55" s="223"/>
      <c r="AI55" s="223"/>
      <c r="AJ55" s="223"/>
      <c r="AK55" s="223"/>
      <c r="AL55" s="223"/>
      <c r="AM55" s="223"/>
      <c r="AN55" s="223"/>
      <c r="AO55" s="223"/>
      <c r="AP55" s="223"/>
      <c r="AQ55" s="223"/>
      <c r="AR55" s="223"/>
      <c r="AS55" s="223"/>
      <c r="AT55" s="223"/>
      <c r="AU55" s="223"/>
      <c r="AV55" s="223"/>
      <c r="AW55" s="223"/>
      <c r="AX55" s="223"/>
      <c r="AY55" s="223"/>
      <c r="AZ55" s="223"/>
      <c r="BA55" s="223"/>
      <c r="BB55" s="223"/>
      <c r="BC55" s="223"/>
      <c r="BD55" s="223"/>
      <c r="BE55" s="223"/>
      <c r="BF55" s="223"/>
      <c r="BG55" s="223"/>
      <c r="BH55" s="223"/>
      <c r="BI55" s="223"/>
      <c r="BJ55" s="223"/>
      <c r="BK55" s="223"/>
      <c r="BL55" s="223"/>
      <c r="BM55" s="223"/>
      <c r="BN55" s="223"/>
      <c r="BO55" s="223"/>
      <c r="BP55" s="223"/>
      <c r="BQ55" s="223"/>
      <c r="BR55" s="223"/>
      <c r="BS55" s="223"/>
      <c r="BT55" s="223"/>
      <c r="BU55" s="223"/>
      <c r="BV55" s="223"/>
      <c r="BW55" s="223"/>
      <c r="BX55" s="223"/>
      <c r="BY55" s="223"/>
      <c r="BZ55" s="223"/>
      <c r="CA55" s="223"/>
    </row>
    <row r="56" spans="1:79" x14ac:dyDescent="0.25">
      <c r="B56" s="49"/>
      <c r="C56" s="49"/>
      <c r="D56" s="223"/>
      <c r="E56" s="223"/>
      <c r="G56" s="223"/>
      <c r="H56" s="223"/>
      <c r="S56" s="223"/>
      <c r="T56" s="223"/>
      <c r="U56" s="223"/>
      <c r="V56" s="223"/>
      <c r="W56" s="223"/>
      <c r="X56" s="223"/>
      <c r="Y56" s="223"/>
      <c r="Z56" s="223"/>
      <c r="AA56" s="223"/>
      <c r="AB56" s="223"/>
      <c r="AC56" s="223"/>
      <c r="AD56" s="223"/>
      <c r="AE56" s="223"/>
      <c r="AF56" s="223"/>
      <c r="AG56" s="223"/>
      <c r="AH56" s="223"/>
      <c r="AI56" s="223"/>
      <c r="AJ56" s="223"/>
      <c r="AK56" s="223"/>
      <c r="AL56" s="223"/>
      <c r="AM56" s="223"/>
      <c r="AN56" s="223"/>
      <c r="AO56" s="223"/>
      <c r="AP56" s="223"/>
      <c r="AQ56" s="223"/>
      <c r="AR56" s="223"/>
      <c r="AS56" s="223"/>
      <c r="AT56" s="223"/>
      <c r="AU56" s="223"/>
      <c r="AV56" s="223"/>
      <c r="AW56" s="223"/>
      <c r="AX56" s="223"/>
      <c r="AY56" s="223"/>
      <c r="AZ56" s="223"/>
      <c r="BA56" s="223"/>
      <c r="BB56" s="223"/>
      <c r="BC56" s="223"/>
      <c r="BD56" s="223"/>
      <c r="BE56" s="223"/>
      <c r="BF56" s="223"/>
      <c r="BG56" s="223"/>
      <c r="BH56" s="223"/>
      <c r="BI56" s="223"/>
      <c r="BJ56" s="223"/>
      <c r="BK56" s="223"/>
      <c r="BL56" s="223"/>
      <c r="BM56" s="223"/>
      <c r="BN56" s="223"/>
      <c r="BO56" s="223"/>
      <c r="BP56" s="223"/>
      <c r="BQ56" s="223"/>
      <c r="BR56" s="223"/>
      <c r="BS56" s="223"/>
      <c r="BT56" s="223"/>
      <c r="BU56" s="223"/>
      <c r="BV56" s="223"/>
      <c r="BW56" s="223"/>
      <c r="BX56" s="223"/>
      <c r="BY56" s="223"/>
      <c r="BZ56" s="223"/>
      <c r="CA56" s="223"/>
    </row>
    <row r="57" spans="1:79" x14ac:dyDescent="0.25">
      <c r="B57" s="49"/>
      <c r="C57" s="49"/>
      <c r="D57" s="223"/>
      <c r="E57" s="223"/>
      <c r="G57" s="223"/>
      <c r="H57" s="223"/>
      <c r="S57" s="223"/>
      <c r="T57" s="223"/>
      <c r="U57" s="223"/>
      <c r="V57" s="223"/>
      <c r="W57" s="223"/>
      <c r="X57" s="223"/>
      <c r="Y57" s="223"/>
      <c r="Z57" s="223"/>
      <c r="AA57" s="223"/>
      <c r="AB57" s="223"/>
      <c r="AC57" s="223"/>
      <c r="AD57" s="223"/>
      <c r="AE57" s="223"/>
      <c r="AF57" s="223"/>
      <c r="AG57" s="223"/>
      <c r="AH57" s="223"/>
      <c r="AI57" s="223"/>
      <c r="AJ57" s="223"/>
      <c r="AK57" s="223"/>
      <c r="AL57" s="223"/>
      <c r="AM57" s="223"/>
      <c r="AN57" s="223"/>
      <c r="AO57" s="223"/>
      <c r="AP57" s="223"/>
      <c r="AQ57" s="223"/>
      <c r="AR57" s="223"/>
      <c r="AS57" s="223"/>
      <c r="AT57" s="223"/>
      <c r="AU57" s="223"/>
      <c r="AV57" s="223"/>
      <c r="AW57" s="223"/>
      <c r="AX57" s="223"/>
      <c r="AY57" s="223"/>
      <c r="AZ57" s="223"/>
      <c r="BA57" s="223"/>
      <c r="BB57" s="223"/>
      <c r="BC57" s="223"/>
      <c r="BD57" s="223"/>
      <c r="BE57" s="223"/>
      <c r="BF57" s="223"/>
      <c r="BG57" s="223"/>
      <c r="BH57" s="223"/>
      <c r="BI57" s="223"/>
      <c r="BJ57" s="223"/>
      <c r="BK57" s="223"/>
      <c r="BL57" s="223"/>
      <c r="BM57" s="223"/>
      <c r="BN57" s="223"/>
      <c r="BO57" s="223"/>
      <c r="BP57" s="223"/>
      <c r="BQ57" s="223"/>
      <c r="BR57" s="223"/>
      <c r="BS57" s="223"/>
      <c r="BT57" s="223"/>
      <c r="BU57" s="223"/>
      <c r="BV57" s="223"/>
      <c r="BW57" s="223"/>
      <c r="BX57" s="223"/>
      <c r="BY57" s="223"/>
      <c r="BZ57" s="223"/>
      <c r="CA57" s="223"/>
    </row>
    <row r="58" spans="1:79" x14ac:dyDescent="0.25">
      <c r="D58" s="223"/>
      <c r="E58" s="223"/>
      <c r="G58" s="223"/>
      <c r="H58" s="223"/>
      <c r="S58" s="223"/>
      <c r="T58" s="223"/>
      <c r="U58" s="223"/>
      <c r="V58" s="223"/>
      <c r="W58" s="223"/>
      <c r="X58" s="223"/>
      <c r="Y58" s="223"/>
      <c r="Z58" s="223"/>
      <c r="AA58" s="223"/>
      <c r="AB58" s="223"/>
      <c r="AC58" s="223"/>
      <c r="AD58" s="223"/>
      <c r="AE58" s="223"/>
      <c r="AF58" s="223"/>
      <c r="AG58" s="223"/>
      <c r="AH58" s="223"/>
      <c r="AI58" s="223"/>
      <c r="AJ58" s="223"/>
      <c r="AK58" s="223"/>
      <c r="AL58" s="223"/>
      <c r="AM58" s="223"/>
      <c r="AN58" s="223"/>
      <c r="AO58" s="223"/>
      <c r="AP58" s="223"/>
      <c r="AQ58" s="223"/>
      <c r="AR58" s="223"/>
      <c r="AS58" s="223"/>
      <c r="AT58" s="223"/>
      <c r="AU58" s="223"/>
      <c r="AV58" s="223"/>
      <c r="AW58" s="223"/>
      <c r="AX58" s="223"/>
      <c r="AY58" s="223"/>
      <c r="AZ58" s="223"/>
      <c r="BA58" s="223"/>
      <c r="BB58" s="223"/>
      <c r="BC58" s="223"/>
      <c r="BD58" s="223"/>
      <c r="BE58" s="223"/>
      <c r="BF58" s="223"/>
      <c r="BG58" s="223"/>
      <c r="BH58" s="223"/>
      <c r="BI58" s="223"/>
      <c r="BJ58" s="223"/>
      <c r="BK58" s="223"/>
      <c r="BL58" s="223"/>
      <c r="BM58" s="223"/>
      <c r="BN58" s="223"/>
      <c r="BO58" s="223"/>
      <c r="BP58" s="223"/>
      <c r="BQ58" s="223"/>
      <c r="BR58" s="223"/>
      <c r="BS58" s="223"/>
      <c r="BT58" s="223"/>
      <c r="BU58" s="223"/>
      <c r="BV58" s="223"/>
      <c r="BW58" s="223"/>
      <c r="BX58" s="223"/>
      <c r="BY58" s="223"/>
      <c r="BZ58" s="223"/>
      <c r="CA58" s="223"/>
    </row>
    <row r="59" spans="1:79" x14ac:dyDescent="0.25">
      <c r="D59" s="223"/>
      <c r="E59" s="223"/>
      <c r="G59" s="223"/>
      <c r="H59" s="223"/>
      <c r="S59" s="223"/>
      <c r="T59" s="223"/>
      <c r="U59" s="223"/>
      <c r="V59" s="223"/>
      <c r="W59" s="223"/>
      <c r="X59" s="223"/>
      <c r="Y59" s="223"/>
      <c r="Z59" s="223"/>
      <c r="AA59" s="223"/>
      <c r="AB59" s="223"/>
      <c r="AC59" s="223"/>
      <c r="AD59" s="223"/>
      <c r="AE59" s="223"/>
      <c r="AF59" s="223"/>
      <c r="AG59" s="223"/>
      <c r="AH59" s="223"/>
      <c r="AI59" s="223"/>
      <c r="AJ59" s="223"/>
      <c r="AK59" s="223"/>
      <c r="AL59" s="223"/>
      <c r="AM59" s="223"/>
      <c r="AN59" s="223"/>
      <c r="AO59" s="223"/>
      <c r="AP59" s="223"/>
      <c r="AQ59" s="223"/>
      <c r="AR59" s="223"/>
      <c r="AS59" s="223"/>
      <c r="AT59" s="223"/>
      <c r="AU59" s="223"/>
      <c r="AV59" s="223"/>
      <c r="AW59" s="223"/>
      <c r="AX59" s="223"/>
      <c r="AY59" s="223"/>
      <c r="AZ59" s="223"/>
      <c r="BA59" s="223"/>
      <c r="BB59" s="223"/>
      <c r="BC59" s="223"/>
      <c r="BD59" s="223"/>
      <c r="BE59" s="223"/>
      <c r="BF59" s="223"/>
      <c r="BG59" s="223"/>
      <c r="BH59" s="223"/>
      <c r="BI59" s="223"/>
      <c r="BJ59" s="223"/>
      <c r="BK59" s="223"/>
      <c r="BL59" s="223"/>
      <c r="BM59" s="223"/>
      <c r="BN59" s="223"/>
      <c r="BO59" s="223"/>
      <c r="BP59" s="223"/>
      <c r="BQ59" s="223"/>
      <c r="BR59" s="223"/>
      <c r="BS59" s="223"/>
      <c r="BT59" s="223"/>
      <c r="BU59" s="223"/>
      <c r="BV59" s="223"/>
      <c r="BW59" s="223"/>
      <c r="BX59" s="223"/>
      <c r="BY59" s="223"/>
      <c r="BZ59" s="223"/>
      <c r="CA59" s="223"/>
    </row>
    <row r="60" spans="1:79" x14ac:dyDescent="0.25">
      <c r="D60" s="223"/>
      <c r="E60" s="223"/>
      <c r="G60" s="223"/>
      <c r="H60" s="223"/>
      <c r="S60" s="223"/>
      <c r="T60" s="223"/>
      <c r="U60" s="223"/>
      <c r="V60" s="223"/>
      <c r="W60" s="223"/>
      <c r="X60" s="223"/>
      <c r="Y60" s="223"/>
      <c r="Z60" s="223"/>
      <c r="AA60" s="223"/>
      <c r="AB60" s="223"/>
      <c r="AC60" s="223"/>
      <c r="AD60" s="223"/>
      <c r="AE60" s="223"/>
      <c r="AF60" s="223"/>
      <c r="AG60" s="223"/>
      <c r="AH60" s="223"/>
      <c r="AI60" s="223"/>
      <c r="AJ60" s="223"/>
      <c r="AK60" s="223"/>
      <c r="AL60" s="223"/>
      <c r="AM60" s="223"/>
      <c r="AN60" s="223"/>
      <c r="AO60" s="223"/>
      <c r="AP60" s="223"/>
      <c r="AQ60" s="223"/>
      <c r="AR60" s="223"/>
      <c r="AS60" s="223"/>
      <c r="AT60" s="223"/>
      <c r="AU60" s="223"/>
      <c r="AV60" s="223"/>
      <c r="AW60" s="223"/>
      <c r="AX60" s="223"/>
      <c r="AY60" s="223"/>
      <c r="AZ60" s="223"/>
      <c r="BA60" s="223"/>
      <c r="BB60" s="223"/>
      <c r="BC60" s="223"/>
      <c r="BD60" s="223"/>
      <c r="BE60" s="223"/>
      <c r="BF60" s="223"/>
      <c r="BG60" s="223"/>
      <c r="BH60" s="223"/>
      <c r="BI60" s="223"/>
      <c r="BJ60" s="223"/>
      <c r="BK60" s="223"/>
      <c r="BL60" s="223"/>
      <c r="BM60" s="223"/>
      <c r="BN60" s="223"/>
      <c r="BO60" s="223"/>
      <c r="BP60" s="223"/>
      <c r="BQ60" s="223"/>
      <c r="BR60" s="223"/>
      <c r="BS60" s="223"/>
      <c r="BT60" s="223"/>
      <c r="BU60" s="223"/>
      <c r="BV60" s="223"/>
      <c r="BW60" s="223"/>
      <c r="BX60" s="223"/>
      <c r="BY60" s="223"/>
      <c r="BZ60" s="223"/>
      <c r="CA60" s="223"/>
    </row>
    <row r="61" spans="1:79" x14ac:dyDescent="0.25">
      <c r="D61" s="223"/>
      <c r="E61" s="223"/>
      <c r="G61" s="223"/>
      <c r="H61" s="223"/>
      <c r="S61" s="223"/>
      <c r="T61" s="223"/>
      <c r="U61" s="223"/>
      <c r="V61" s="223"/>
      <c r="W61" s="223"/>
      <c r="X61" s="223"/>
      <c r="Y61" s="223"/>
      <c r="Z61" s="223"/>
      <c r="AA61" s="223"/>
      <c r="AB61" s="223"/>
      <c r="AC61" s="223"/>
      <c r="AD61" s="223"/>
      <c r="AE61" s="223"/>
      <c r="AF61" s="223"/>
      <c r="AG61" s="223"/>
      <c r="AH61" s="223"/>
      <c r="AI61" s="223"/>
      <c r="AJ61" s="223"/>
      <c r="AK61" s="223"/>
      <c r="AL61" s="223"/>
      <c r="AM61" s="223"/>
      <c r="AN61" s="223"/>
      <c r="AO61" s="223"/>
      <c r="AP61" s="223"/>
      <c r="AQ61" s="223"/>
      <c r="AR61" s="223"/>
      <c r="AS61" s="223"/>
      <c r="AT61" s="223"/>
      <c r="AU61" s="223"/>
      <c r="AV61" s="223"/>
      <c r="AW61" s="223"/>
      <c r="AX61" s="223"/>
      <c r="AY61" s="223"/>
      <c r="AZ61" s="223"/>
      <c r="BA61" s="223"/>
      <c r="BB61" s="223"/>
      <c r="BC61" s="223"/>
      <c r="BD61" s="223"/>
      <c r="BE61" s="223"/>
      <c r="BF61" s="223"/>
      <c r="BG61" s="223"/>
      <c r="BH61" s="223"/>
      <c r="BI61" s="223"/>
      <c r="BJ61" s="223"/>
      <c r="BK61" s="223"/>
      <c r="BL61" s="223"/>
      <c r="BM61" s="223"/>
      <c r="BN61" s="223"/>
      <c r="BO61" s="223"/>
      <c r="BP61" s="223"/>
      <c r="BQ61" s="223"/>
      <c r="BR61" s="223"/>
      <c r="BS61" s="223"/>
      <c r="BT61" s="223"/>
      <c r="BU61" s="223"/>
      <c r="BV61" s="223"/>
      <c r="BW61" s="223"/>
      <c r="BX61" s="223"/>
      <c r="BY61" s="223"/>
      <c r="BZ61" s="223"/>
      <c r="CA61" s="223"/>
    </row>
    <row r="62" spans="1:79" x14ac:dyDescent="0.25">
      <c r="D62" s="223"/>
      <c r="E62" s="223"/>
      <c r="G62" s="223"/>
      <c r="H62" s="223"/>
      <c r="S62" s="223"/>
      <c r="T62" s="223"/>
      <c r="U62" s="223"/>
      <c r="V62" s="223"/>
      <c r="W62" s="223"/>
      <c r="X62" s="223"/>
      <c r="Y62" s="223"/>
      <c r="Z62" s="223"/>
      <c r="AA62" s="223"/>
      <c r="AB62" s="223"/>
      <c r="AC62" s="223"/>
      <c r="AD62" s="223"/>
      <c r="AE62" s="223"/>
      <c r="AF62" s="223"/>
      <c r="AG62" s="223"/>
      <c r="AH62" s="223"/>
      <c r="AI62" s="223"/>
      <c r="AJ62" s="223"/>
      <c r="AK62" s="223"/>
      <c r="AL62" s="223"/>
      <c r="AM62" s="223"/>
      <c r="AN62" s="223"/>
      <c r="AO62" s="223"/>
      <c r="AP62" s="223"/>
      <c r="AQ62" s="223"/>
      <c r="AR62" s="223"/>
      <c r="AS62" s="223"/>
      <c r="AT62" s="223"/>
      <c r="AU62" s="223"/>
      <c r="AV62" s="223"/>
      <c r="AW62" s="223"/>
      <c r="AX62" s="223"/>
      <c r="AY62" s="223"/>
      <c r="AZ62" s="223"/>
      <c r="BA62" s="223"/>
      <c r="BB62" s="223"/>
      <c r="BC62" s="223"/>
      <c r="BD62" s="223"/>
      <c r="BE62" s="223"/>
      <c r="BF62" s="223"/>
      <c r="BG62" s="223"/>
      <c r="BH62" s="223"/>
      <c r="BI62" s="223"/>
      <c r="BJ62" s="223"/>
      <c r="BK62" s="223"/>
      <c r="BL62" s="223"/>
      <c r="BM62" s="223"/>
      <c r="BN62" s="223"/>
      <c r="BO62" s="223"/>
      <c r="BP62" s="223"/>
      <c r="BQ62" s="223"/>
      <c r="BR62" s="223"/>
      <c r="BS62" s="223"/>
      <c r="BT62" s="223"/>
      <c r="BU62" s="223"/>
      <c r="BV62" s="223"/>
      <c r="BW62" s="223"/>
      <c r="BX62" s="223"/>
      <c r="BY62" s="223"/>
      <c r="BZ62" s="223"/>
      <c r="CA62" s="223"/>
    </row>
    <row r="63" spans="1:79" x14ac:dyDescent="0.25">
      <c r="D63" s="223"/>
      <c r="E63" s="223"/>
      <c r="G63" s="223"/>
      <c r="H63" s="223"/>
      <c r="S63" s="223"/>
      <c r="T63" s="223"/>
      <c r="U63" s="223"/>
      <c r="V63" s="223"/>
      <c r="W63" s="223"/>
      <c r="X63" s="223"/>
      <c r="Y63" s="223"/>
      <c r="Z63" s="223"/>
      <c r="AA63" s="223"/>
      <c r="AB63" s="223"/>
      <c r="AC63" s="223"/>
      <c r="AD63" s="223"/>
      <c r="AE63" s="223"/>
      <c r="AF63" s="223"/>
      <c r="AG63" s="223"/>
      <c r="AH63" s="223"/>
      <c r="AI63" s="223"/>
      <c r="AJ63" s="223"/>
      <c r="AK63" s="223"/>
      <c r="AL63" s="223"/>
      <c r="AM63" s="223"/>
      <c r="AN63" s="223"/>
      <c r="AO63" s="223"/>
      <c r="AP63" s="223"/>
      <c r="AQ63" s="223"/>
      <c r="AR63" s="223"/>
      <c r="AS63" s="223"/>
      <c r="AT63" s="223"/>
      <c r="AU63" s="223"/>
      <c r="AV63" s="223"/>
      <c r="AW63" s="223"/>
      <c r="AX63" s="223"/>
      <c r="AY63" s="223"/>
      <c r="AZ63" s="223"/>
      <c r="BA63" s="223"/>
      <c r="BB63" s="223"/>
      <c r="BC63" s="223"/>
      <c r="BD63" s="223"/>
      <c r="BE63" s="223"/>
      <c r="BF63" s="223"/>
      <c r="BG63" s="223"/>
      <c r="BH63" s="223"/>
      <c r="BI63" s="223"/>
      <c r="BJ63" s="223"/>
      <c r="BK63" s="223"/>
      <c r="BL63" s="223"/>
      <c r="BM63" s="223"/>
      <c r="BN63" s="223"/>
      <c r="BO63" s="223"/>
      <c r="BP63" s="223"/>
      <c r="BQ63" s="223"/>
      <c r="BR63" s="223"/>
      <c r="BS63" s="223"/>
      <c r="BT63" s="223"/>
      <c r="BU63" s="223"/>
      <c r="BV63" s="223"/>
      <c r="BW63" s="223"/>
      <c r="BX63" s="223"/>
      <c r="BY63" s="223"/>
      <c r="BZ63" s="223"/>
      <c r="CA63" s="223"/>
    </row>
    <row r="64" spans="1:79" x14ac:dyDescent="0.25">
      <c r="D64" s="223"/>
      <c r="E64" s="223"/>
      <c r="G64" s="223"/>
      <c r="H64" s="223"/>
      <c r="S64" s="223"/>
      <c r="T64" s="223"/>
      <c r="U64" s="223"/>
      <c r="V64" s="223"/>
      <c r="W64" s="223"/>
      <c r="X64" s="223"/>
      <c r="Y64" s="223"/>
      <c r="Z64" s="223"/>
      <c r="AA64" s="223"/>
      <c r="AB64" s="223"/>
      <c r="AC64" s="223"/>
      <c r="AD64" s="223"/>
      <c r="AE64" s="223"/>
      <c r="AF64" s="223"/>
      <c r="AG64" s="223"/>
      <c r="AH64" s="223"/>
      <c r="AI64" s="223"/>
      <c r="AJ64" s="223"/>
      <c r="AK64" s="223"/>
      <c r="AL64" s="223"/>
      <c r="AM64" s="223"/>
      <c r="AN64" s="223"/>
      <c r="AO64" s="223"/>
      <c r="AP64" s="223"/>
      <c r="AQ64" s="223"/>
      <c r="AR64" s="223"/>
      <c r="AS64" s="223"/>
      <c r="AT64" s="223"/>
      <c r="AU64" s="223"/>
      <c r="AV64" s="223"/>
      <c r="AW64" s="223"/>
      <c r="AX64" s="223"/>
      <c r="AY64" s="223"/>
      <c r="AZ64" s="223"/>
      <c r="BA64" s="223"/>
      <c r="BB64" s="223"/>
      <c r="BC64" s="223"/>
      <c r="BD64" s="223"/>
      <c r="BE64" s="223"/>
      <c r="BF64" s="223"/>
      <c r="BG64" s="223"/>
      <c r="BH64" s="223"/>
      <c r="BI64" s="223"/>
      <c r="BJ64" s="223"/>
      <c r="BK64" s="223"/>
      <c r="BL64" s="223"/>
      <c r="BM64" s="223"/>
      <c r="BN64" s="223"/>
      <c r="BO64" s="223"/>
      <c r="BP64" s="223"/>
      <c r="BQ64" s="223"/>
      <c r="BR64" s="223"/>
      <c r="BS64" s="223"/>
      <c r="BT64" s="223"/>
      <c r="BU64" s="223"/>
      <c r="BV64" s="223"/>
      <c r="BW64" s="223"/>
      <c r="BX64" s="223"/>
      <c r="BY64" s="223"/>
      <c r="BZ64" s="223"/>
      <c r="CA64" s="223"/>
    </row>
    <row r="65" spans="1:43" s="223" customFormat="1" x14ac:dyDescent="0.25">
      <c r="K65" s="133"/>
    </row>
    <row r="66" spans="1:43" s="223" customFormat="1" x14ac:dyDescent="0.25">
      <c r="K66" s="133"/>
    </row>
    <row r="67" spans="1:43" s="223" customFormat="1" x14ac:dyDescent="0.25">
      <c r="H67" s="256"/>
      <c r="I67" s="256"/>
      <c r="K67" s="256"/>
      <c r="L67" s="256"/>
      <c r="M67" s="256"/>
      <c r="N67" s="256"/>
      <c r="O67" s="256"/>
      <c r="P67" s="256"/>
      <c r="Q67" s="256"/>
      <c r="Z67" s="256"/>
      <c r="AA67" s="256"/>
      <c r="AB67" s="256"/>
      <c r="AC67" s="256"/>
      <c r="AD67" s="256"/>
      <c r="AE67" s="256"/>
      <c r="AF67" s="256"/>
      <c r="AG67" s="256"/>
      <c r="AH67" s="256"/>
      <c r="AI67" s="256"/>
      <c r="AJ67" s="256"/>
      <c r="AK67" s="256"/>
      <c r="AL67" s="256"/>
      <c r="AM67" s="256"/>
      <c r="AN67" s="256"/>
      <c r="AO67" s="256"/>
      <c r="AP67" s="256"/>
      <c r="AQ67" s="256"/>
    </row>
    <row r="68" spans="1:43" s="223" customFormat="1" x14ac:dyDescent="0.25">
      <c r="A68" s="49"/>
      <c r="B68" s="49"/>
      <c r="C68" s="49"/>
      <c r="D68" s="49"/>
      <c r="E68" s="49"/>
      <c r="F68" s="49"/>
      <c r="G68" s="49"/>
      <c r="H68" s="49"/>
      <c r="I68" s="49"/>
      <c r="J68" s="49"/>
      <c r="K68" s="133"/>
      <c r="L68" s="49"/>
      <c r="M68" s="49"/>
      <c r="N68" s="49"/>
      <c r="O68" s="49"/>
      <c r="P68" s="49"/>
    </row>
    <row r="69" spans="1:43" s="223" customFormat="1" x14ac:dyDescent="0.25">
      <c r="A69" s="49"/>
      <c r="B69" s="49"/>
      <c r="C69" s="49"/>
      <c r="D69" s="49"/>
      <c r="E69" s="49"/>
      <c r="F69" s="49"/>
      <c r="G69" s="49"/>
      <c r="H69" s="49"/>
      <c r="I69" s="49"/>
      <c r="J69" s="49"/>
      <c r="K69" s="133"/>
      <c r="L69" s="49"/>
      <c r="M69" s="49"/>
      <c r="N69" s="49"/>
      <c r="O69" s="49"/>
      <c r="P69" s="49"/>
      <c r="Q69" s="256"/>
      <c r="R69" s="256"/>
      <c r="S69" s="256"/>
    </row>
    <row r="70" spans="1:43" s="223" customFormat="1" x14ac:dyDescent="0.25">
      <c r="A70" s="49"/>
      <c r="B70" s="49"/>
      <c r="C70" s="49"/>
      <c r="D70" s="49"/>
      <c r="E70" s="49"/>
      <c r="F70" s="49"/>
      <c r="G70" s="49"/>
      <c r="H70" s="49"/>
      <c r="I70" s="49"/>
      <c r="J70" s="49"/>
      <c r="K70" s="133"/>
      <c r="L70" s="49"/>
      <c r="M70" s="49"/>
      <c r="N70" s="49"/>
      <c r="O70" s="49"/>
      <c r="P70" s="49"/>
      <c r="Q70" s="256"/>
      <c r="R70" s="256"/>
      <c r="S70" s="256"/>
    </row>
    <row r="71" spans="1:43" s="223" customFormat="1" x14ac:dyDescent="0.25">
      <c r="A71" s="49"/>
      <c r="B71" s="49"/>
      <c r="C71" s="49"/>
      <c r="D71" s="49"/>
      <c r="E71" s="49"/>
      <c r="F71" s="49"/>
      <c r="G71" s="49"/>
      <c r="H71" s="49"/>
      <c r="I71" s="49"/>
      <c r="J71" s="49"/>
      <c r="K71" s="133"/>
      <c r="L71" s="49"/>
      <c r="M71" s="49"/>
      <c r="N71" s="49"/>
      <c r="O71" s="49"/>
      <c r="P71" s="49"/>
    </row>
    <row r="72" spans="1:43" s="223" customFormat="1" x14ac:dyDescent="0.25">
      <c r="A72" s="49"/>
      <c r="B72" s="49"/>
      <c r="C72" s="49"/>
      <c r="D72" s="49"/>
      <c r="E72" s="49"/>
      <c r="F72" s="49"/>
      <c r="G72" s="49"/>
      <c r="H72" s="49"/>
      <c r="I72" s="49"/>
      <c r="J72" s="49"/>
      <c r="K72" s="133"/>
      <c r="L72" s="49"/>
      <c r="M72" s="49"/>
      <c r="N72" s="49"/>
      <c r="O72" s="49"/>
      <c r="P72" s="49"/>
    </row>
    <row r="73" spans="1:43" s="223" customFormat="1" x14ac:dyDescent="0.25">
      <c r="A73" s="49"/>
      <c r="B73" s="49"/>
      <c r="C73" s="49"/>
      <c r="D73" s="49"/>
      <c r="E73" s="49"/>
      <c r="F73" s="49"/>
      <c r="G73" s="49"/>
      <c r="H73" s="49"/>
      <c r="I73" s="49"/>
      <c r="J73" s="49"/>
      <c r="K73" s="133"/>
      <c r="L73" s="49"/>
      <c r="M73" s="49"/>
      <c r="N73" s="49"/>
      <c r="O73" s="49"/>
      <c r="P73" s="49"/>
      <c r="R73" s="256"/>
    </row>
    <row r="74" spans="1:43" s="223" customFormat="1" x14ac:dyDescent="0.25">
      <c r="A74" s="49"/>
      <c r="B74" s="49"/>
      <c r="C74" s="49"/>
      <c r="D74" s="49"/>
      <c r="E74" s="49"/>
      <c r="F74" s="49"/>
      <c r="G74" s="49"/>
      <c r="H74" s="49"/>
      <c r="I74" s="49"/>
      <c r="J74" s="49"/>
      <c r="K74" s="133"/>
      <c r="L74" s="49"/>
      <c r="M74" s="49"/>
      <c r="N74" s="49"/>
      <c r="O74" s="49"/>
      <c r="P74" s="49"/>
      <c r="R74" s="256"/>
    </row>
    <row r="75" spans="1:43" s="223" customFormat="1" x14ac:dyDescent="0.25">
      <c r="A75" s="49"/>
      <c r="B75" s="49"/>
      <c r="C75" s="49"/>
      <c r="D75" s="49"/>
      <c r="E75" s="49"/>
      <c r="F75" s="49"/>
      <c r="G75" s="49"/>
      <c r="H75" s="49"/>
      <c r="I75" s="49"/>
      <c r="J75" s="49"/>
      <c r="K75" s="133"/>
      <c r="L75" s="49"/>
      <c r="M75" s="49"/>
      <c r="N75" s="49"/>
      <c r="O75" s="49"/>
      <c r="P75" s="49"/>
    </row>
    <row r="76" spans="1:43" s="223" customFormat="1" x14ac:dyDescent="0.25">
      <c r="A76" s="49"/>
      <c r="B76" s="49"/>
      <c r="C76" s="49"/>
      <c r="D76" s="49"/>
      <c r="E76" s="49"/>
      <c r="F76" s="49"/>
      <c r="G76" s="49"/>
      <c r="H76" s="49"/>
      <c r="I76" s="49"/>
      <c r="J76" s="49"/>
      <c r="K76" s="133"/>
      <c r="L76" s="49"/>
      <c r="M76" s="49"/>
      <c r="N76" s="49"/>
      <c r="O76" s="49"/>
      <c r="P76" s="49"/>
    </row>
    <row r="77" spans="1:43" s="223" customFormat="1" x14ac:dyDescent="0.25">
      <c r="A77" s="49"/>
      <c r="B77" s="49"/>
      <c r="C77" s="49"/>
      <c r="D77" s="49"/>
      <c r="E77" s="49"/>
      <c r="F77" s="49"/>
      <c r="G77" s="49"/>
      <c r="H77" s="49"/>
      <c r="I77" s="49"/>
      <c r="J77" s="49"/>
      <c r="K77" s="133"/>
      <c r="L77" s="49"/>
      <c r="M77" s="49"/>
      <c r="N77" s="49"/>
      <c r="O77" s="49"/>
      <c r="P77" s="49"/>
    </row>
    <row r="78" spans="1:43" s="223" customFormat="1" x14ac:dyDescent="0.25">
      <c r="K78" s="133"/>
    </row>
    <row r="79" spans="1:43" s="223" customFormat="1" x14ac:dyDescent="0.25">
      <c r="K79" s="133"/>
    </row>
    <row r="80" spans="1:43" s="223" customFormat="1" x14ac:dyDescent="0.25">
      <c r="K80" s="133"/>
    </row>
    <row r="81" spans="11:68" s="223" customFormat="1" x14ac:dyDescent="0.25">
      <c r="K81" s="133"/>
    </row>
    <row r="82" spans="11:68" s="223" customFormat="1" x14ac:dyDescent="0.25">
      <c r="K82" s="133"/>
    </row>
    <row r="83" spans="11:68" s="223" customFormat="1" x14ac:dyDescent="0.25">
      <c r="K83" s="133"/>
    </row>
    <row r="84" spans="11:68" s="223" customFormat="1" x14ac:dyDescent="0.25">
      <c r="K84" s="133"/>
    </row>
    <row r="85" spans="11:68" s="223" customFormat="1" x14ac:dyDescent="0.25">
      <c r="K85" s="133"/>
    </row>
    <row r="86" spans="11:68" s="223" customFormat="1" x14ac:dyDescent="0.25">
      <c r="K86" s="133"/>
    </row>
    <row r="87" spans="11:68" s="223" customFormat="1" x14ac:dyDescent="0.25">
      <c r="K87" s="133"/>
    </row>
    <row r="88" spans="11:68" s="223" customFormat="1" x14ac:dyDescent="0.25">
      <c r="K88" s="133"/>
    </row>
    <row r="89" spans="11:68" s="223" customFormat="1" x14ac:dyDescent="0.25">
      <c r="K89" s="133"/>
      <c r="BJ89" s="256"/>
      <c r="BK89" s="256"/>
      <c r="BL89" s="256"/>
      <c r="BM89" s="256"/>
      <c r="BN89" s="256"/>
      <c r="BO89" s="256"/>
      <c r="BP89" s="256"/>
    </row>
    <row r="90" spans="11:68" s="223" customFormat="1" x14ac:dyDescent="0.25">
      <c r="K90" s="133"/>
      <c r="BJ90" s="256"/>
      <c r="BK90" s="256"/>
      <c r="BL90" s="256"/>
      <c r="BM90" s="256"/>
      <c r="BN90" s="256"/>
      <c r="BO90" s="256"/>
      <c r="BP90" s="256"/>
    </row>
    <row r="91" spans="11:68" s="223" customFormat="1" x14ac:dyDescent="0.25">
      <c r="K91" s="133"/>
    </row>
    <row r="92" spans="11:68" s="223" customFormat="1" x14ac:dyDescent="0.25">
      <c r="K92" s="133"/>
    </row>
    <row r="93" spans="11:68" s="223" customFormat="1" x14ac:dyDescent="0.25">
      <c r="K93" s="133"/>
    </row>
    <row r="94" spans="11:68" s="223" customFormat="1" x14ac:dyDescent="0.25">
      <c r="K94" s="133"/>
    </row>
    <row r="95" spans="11:68" s="223" customFormat="1" x14ac:dyDescent="0.25">
      <c r="K95" s="133"/>
    </row>
    <row r="96" spans="11:68" s="223" customFormat="1" x14ac:dyDescent="0.25">
      <c r="K96" s="133"/>
    </row>
    <row r="97" spans="4:80" x14ac:dyDescent="0.25">
      <c r="D97" s="223"/>
      <c r="E97" s="223"/>
      <c r="G97" s="223"/>
      <c r="H97" s="223"/>
      <c r="S97" s="223"/>
      <c r="T97" s="223"/>
      <c r="U97" s="223"/>
      <c r="V97" s="223"/>
      <c r="W97" s="223"/>
      <c r="X97" s="223"/>
      <c r="Y97" s="223"/>
      <c r="Z97" s="223"/>
      <c r="AA97" s="223"/>
      <c r="AB97" s="223"/>
      <c r="AC97" s="223"/>
      <c r="AD97" s="223"/>
      <c r="AE97" s="223"/>
      <c r="AF97" s="223"/>
      <c r="AG97" s="223"/>
      <c r="AH97" s="223"/>
      <c r="AI97" s="223"/>
      <c r="AJ97" s="223"/>
      <c r="AK97" s="223"/>
      <c r="AL97" s="223"/>
      <c r="AM97" s="223"/>
      <c r="AN97" s="223"/>
      <c r="AO97" s="223"/>
      <c r="AP97" s="223"/>
      <c r="AQ97" s="223"/>
      <c r="AR97" s="223"/>
      <c r="AS97" s="223"/>
      <c r="AT97" s="223"/>
      <c r="AU97" s="223"/>
      <c r="AV97" s="223"/>
      <c r="AW97" s="223"/>
      <c r="AX97" s="223"/>
      <c r="AY97" s="223"/>
      <c r="AZ97" s="223"/>
      <c r="BA97" s="223"/>
      <c r="BB97" s="223"/>
      <c r="BC97" s="223"/>
      <c r="BD97" s="223"/>
      <c r="BE97" s="223"/>
      <c r="BF97" s="223"/>
      <c r="BG97" s="223"/>
      <c r="BH97" s="223"/>
      <c r="BI97" s="223"/>
      <c r="BJ97" s="223"/>
      <c r="BK97" s="223"/>
      <c r="BL97" s="223"/>
      <c r="BM97" s="223"/>
      <c r="BN97" s="223"/>
      <c r="BO97" s="223"/>
      <c r="BP97" s="223"/>
      <c r="BQ97" s="223"/>
      <c r="BR97" s="223"/>
      <c r="BS97" s="223"/>
      <c r="BT97" s="223"/>
      <c r="BU97" s="223"/>
      <c r="BV97" s="223"/>
      <c r="BW97" s="223"/>
      <c r="BX97" s="223"/>
      <c r="BY97" s="223"/>
      <c r="BZ97" s="223"/>
      <c r="CA97" s="223"/>
    </row>
    <row r="98" spans="4:80" x14ac:dyDescent="0.25">
      <c r="D98" s="223"/>
      <c r="E98" s="223"/>
      <c r="G98" s="223"/>
      <c r="H98" s="223"/>
      <c r="S98" s="223"/>
      <c r="T98" s="223"/>
      <c r="U98" s="223"/>
      <c r="V98" s="223"/>
      <c r="W98" s="223"/>
      <c r="X98" s="223"/>
      <c r="Y98" s="223"/>
      <c r="Z98" s="223"/>
      <c r="AA98" s="223"/>
      <c r="AB98" s="223"/>
      <c r="AC98" s="223"/>
      <c r="AD98" s="223"/>
      <c r="AE98" s="223"/>
      <c r="AF98" s="223"/>
      <c r="AG98" s="223"/>
      <c r="AH98" s="223"/>
      <c r="AI98" s="223"/>
      <c r="AJ98" s="223"/>
      <c r="AK98" s="223"/>
      <c r="AL98" s="223"/>
      <c r="AM98" s="223"/>
      <c r="AN98" s="223"/>
      <c r="AO98" s="223"/>
      <c r="AP98" s="223"/>
      <c r="AQ98" s="223"/>
      <c r="AR98" s="223"/>
      <c r="AS98" s="223"/>
      <c r="AT98" s="223"/>
      <c r="AU98" s="223"/>
      <c r="AV98" s="223"/>
      <c r="AW98" s="223"/>
      <c r="AX98" s="223"/>
      <c r="AY98" s="223"/>
      <c r="AZ98" s="223"/>
      <c r="BA98" s="223"/>
      <c r="BB98" s="223"/>
      <c r="BC98" s="223"/>
      <c r="BD98" s="223"/>
      <c r="BE98" s="223"/>
      <c r="BF98" s="223"/>
      <c r="BG98" s="223"/>
      <c r="BH98" s="223"/>
      <c r="BI98" s="223"/>
      <c r="BJ98" s="223"/>
      <c r="BK98" s="223"/>
      <c r="BL98" s="223"/>
      <c r="BM98" s="223"/>
      <c r="BN98" s="223"/>
      <c r="BO98" s="223"/>
      <c r="BP98" s="223"/>
      <c r="BQ98" s="223"/>
      <c r="BR98" s="223"/>
      <c r="BS98" s="223"/>
      <c r="BT98" s="223"/>
      <c r="BU98" s="223"/>
      <c r="BV98" s="223"/>
      <c r="BW98" s="223"/>
      <c r="BX98" s="223"/>
      <c r="BY98" s="223"/>
      <c r="BZ98" s="223"/>
      <c r="CA98" s="223"/>
    </row>
    <row r="99" spans="4:80" x14ac:dyDescent="0.25">
      <c r="D99" s="223"/>
      <c r="E99" s="223"/>
      <c r="G99" s="223"/>
      <c r="H99" s="223"/>
      <c r="S99" s="223"/>
      <c r="T99" s="223"/>
      <c r="U99" s="223"/>
      <c r="V99" s="223"/>
      <c r="W99" s="223"/>
      <c r="X99" s="223"/>
      <c r="Y99" s="223"/>
      <c r="Z99" s="223"/>
      <c r="AA99" s="223"/>
      <c r="AB99" s="223"/>
      <c r="AC99" s="223"/>
      <c r="AD99" s="223"/>
      <c r="AE99" s="223"/>
      <c r="AF99" s="223"/>
      <c r="AG99" s="223"/>
      <c r="AH99" s="223"/>
      <c r="AI99" s="223"/>
      <c r="AJ99" s="223"/>
      <c r="AK99" s="223"/>
      <c r="AL99" s="223"/>
      <c r="AM99" s="223"/>
      <c r="AN99" s="223"/>
      <c r="AO99" s="223"/>
      <c r="AP99" s="223"/>
      <c r="AQ99" s="223"/>
      <c r="AR99" s="223"/>
      <c r="AS99" s="223"/>
      <c r="AT99" s="223"/>
      <c r="AU99" s="223"/>
      <c r="AV99" s="223"/>
      <c r="AW99" s="223"/>
      <c r="AX99" s="223"/>
      <c r="AY99" s="223"/>
      <c r="AZ99" s="223"/>
      <c r="BA99" s="223"/>
      <c r="BB99" s="223"/>
      <c r="BC99" s="223"/>
      <c r="BD99" s="223"/>
      <c r="BE99" s="223"/>
      <c r="BF99" s="223"/>
      <c r="BG99" s="223"/>
      <c r="BH99" s="223"/>
      <c r="BI99" s="223"/>
      <c r="BJ99" s="223"/>
      <c r="BK99" s="223"/>
      <c r="BL99" s="223"/>
      <c r="BM99" s="223"/>
      <c r="BN99" s="223"/>
      <c r="BO99" s="223"/>
      <c r="BP99" s="223"/>
      <c r="BQ99" s="223"/>
      <c r="BR99" s="223"/>
      <c r="BS99" s="223"/>
      <c r="BT99" s="223"/>
      <c r="BU99" s="223"/>
      <c r="BV99" s="223"/>
      <c r="BW99" s="223"/>
      <c r="BX99" s="223"/>
      <c r="BY99" s="223"/>
      <c r="BZ99" s="223"/>
      <c r="CA99" s="223"/>
    </row>
    <row r="100" spans="4:80" x14ac:dyDescent="0.25">
      <c r="D100" s="223"/>
      <c r="I100" s="227"/>
      <c r="J100" s="227"/>
      <c r="S100" s="223"/>
      <c r="BF100" s="227"/>
      <c r="BI100" s="133"/>
      <c r="CB100" s="227"/>
    </row>
  </sheetData>
  <mergeCells count="40">
    <mergeCell ref="C9:C13"/>
    <mergeCell ref="A15:B16"/>
    <mergeCell ref="A26:B37"/>
    <mergeCell ref="A1:B1"/>
    <mergeCell ref="A2:B2"/>
    <mergeCell ref="A3:B8"/>
    <mergeCell ref="A9:B14"/>
    <mergeCell ref="A17:B22"/>
    <mergeCell ref="A23:B25"/>
    <mergeCell ref="C23:C24"/>
    <mergeCell ref="I23:I24"/>
    <mergeCell ref="J23:J24"/>
    <mergeCell ref="A38:B39"/>
    <mergeCell ref="C38:C39"/>
    <mergeCell ref="A40:B40"/>
    <mergeCell ref="A41:B42"/>
    <mergeCell ref="A43:B45"/>
    <mergeCell ref="C43:C45"/>
    <mergeCell ref="Q69:Q70"/>
    <mergeCell ref="R69:R70"/>
    <mergeCell ref="S69:S70"/>
    <mergeCell ref="A46:B47"/>
    <mergeCell ref="C46:C47"/>
    <mergeCell ref="A48:B49"/>
    <mergeCell ref="A50:B50"/>
    <mergeCell ref="A51:B54"/>
    <mergeCell ref="A55:B55"/>
    <mergeCell ref="H67:I67"/>
    <mergeCell ref="K67:L67"/>
    <mergeCell ref="M67:O67"/>
    <mergeCell ref="P67:Q67"/>
    <mergeCell ref="Z67:AQ67"/>
    <mergeCell ref="BO89:BO90"/>
    <mergeCell ref="BP89:BP90"/>
    <mergeCell ref="R73:R74"/>
    <mergeCell ref="BJ89:BJ90"/>
    <mergeCell ref="BK89:BK90"/>
    <mergeCell ref="BL89:BL90"/>
    <mergeCell ref="BM89:BM90"/>
    <mergeCell ref="BN89:BN90"/>
  </mergeCells>
  <dataValidations count="1">
    <dataValidation type="list" allowBlank="1" showInputMessage="1" showErrorMessage="1" sqref="E3">
      <formula1>ConnectivityPurpose</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AddDEvice">
                <anchor moveWithCells="1" sizeWithCells="1">
                  <from>
                    <xdr:col>5</xdr:col>
                    <xdr:colOff>38100</xdr:colOff>
                    <xdr:row>22</xdr:row>
                    <xdr:rowOff>9525</xdr:rowOff>
                  </from>
                  <to>
                    <xdr:col>5</xdr:col>
                    <xdr:colOff>676275</xdr:colOff>
                    <xdr:row>23</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'Pick lists'!$A$2:$A$28</xm:f>
          </x14:formula1>
          <xm:sqref>F3</xm:sqref>
        </x14:dataValidation>
        <x14:dataValidation type="list" allowBlank="1" showInputMessage="1" showErrorMessage="1">
          <x14:formula1>
            <xm:f>'Pick lists'!$J$3:$J$6</xm:f>
          </x14:formula1>
          <xm:sqref>E9:F9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XFD40"/>
  <sheetViews>
    <sheetView workbookViewId="0">
      <selection activeCell="A2" sqref="A2:A29"/>
    </sheetView>
  </sheetViews>
  <sheetFormatPr defaultRowHeight="15" x14ac:dyDescent="0.25"/>
  <cols>
    <col min="1" max="1" width="41.28515625" bestFit="1" customWidth="1"/>
    <col min="2" max="2" width="30.7109375" bestFit="1" customWidth="1"/>
    <col min="4" max="4" width="19.140625" bestFit="1" customWidth="1"/>
    <col min="6" max="6" width="25.140625" customWidth="1"/>
    <col min="10" max="10" width="14.28515625" bestFit="1" customWidth="1"/>
    <col min="13" max="13" width="14.28515625" bestFit="1" customWidth="1"/>
    <col min="14" max="14" width="18.85546875" bestFit="1" customWidth="1"/>
    <col min="15" max="15" width="18.85546875" style="49" bestFit="1" customWidth="1"/>
    <col min="16" max="16384" width="9.140625" style="49"/>
  </cols>
  <sheetData>
    <row r="1" spans="1:15" customFormat="1" x14ac:dyDescent="0.25">
      <c r="A1" s="46" t="s">
        <v>125</v>
      </c>
      <c r="B1" s="46" t="s">
        <v>113</v>
      </c>
      <c r="F1" s="48" t="s">
        <v>124</v>
      </c>
      <c r="J1" s="46" t="s">
        <v>137</v>
      </c>
      <c r="M1" s="288" t="s">
        <v>257</v>
      </c>
      <c r="N1" s="288"/>
    </row>
    <row r="2" spans="1:15" customFormat="1" x14ac:dyDescent="0.25">
      <c r="A2" t="s">
        <v>129</v>
      </c>
      <c r="B2" s="29" t="s">
        <v>31</v>
      </c>
      <c r="F2" s="48" t="s">
        <v>33</v>
      </c>
      <c r="J2" t="s">
        <v>158</v>
      </c>
      <c r="M2" t="s">
        <v>160</v>
      </c>
      <c r="N2" s="95">
        <v>277248</v>
      </c>
    </row>
    <row r="3" spans="1:15" customFormat="1" x14ac:dyDescent="0.25">
      <c r="A3" t="s">
        <v>130</v>
      </c>
      <c r="B3" s="29" t="s">
        <v>17</v>
      </c>
      <c r="F3" s="48" t="s">
        <v>193</v>
      </c>
      <c r="J3" t="s">
        <v>1</v>
      </c>
      <c r="M3" t="s">
        <v>4</v>
      </c>
      <c r="N3" s="95">
        <v>240.3</v>
      </c>
    </row>
    <row r="4" spans="1:15" customFormat="1" x14ac:dyDescent="0.25">
      <c r="A4" t="s">
        <v>126</v>
      </c>
      <c r="B4" s="29" t="s">
        <v>17</v>
      </c>
      <c r="D4" s="47"/>
      <c r="F4" s="48" t="s">
        <v>51</v>
      </c>
      <c r="J4" t="s">
        <v>139</v>
      </c>
      <c r="M4" t="s">
        <v>2</v>
      </c>
      <c r="N4" s="95">
        <v>12.3</v>
      </c>
    </row>
    <row r="5" spans="1:15" customFormat="1" x14ac:dyDescent="0.25">
      <c r="A5" t="s">
        <v>127</v>
      </c>
      <c r="B5" s="29" t="s">
        <v>17</v>
      </c>
      <c r="D5" s="47"/>
      <c r="F5" s="48" t="s">
        <v>52</v>
      </c>
      <c r="J5" t="s">
        <v>3</v>
      </c>
      <c r="M5" t="s">
        <v>258</v>
      </c>
      <c r="N5" s="96">
        <v>1285</v>
      </c>
    </row>
    <row r="6" spans="1:15" customFormat="1" ht="15.75" x14ac:dyDescent="0.25">
      <c r="A6" t="s">
        <v>128</v>
      </c>
      <c r="B6" s="29" t="s">
        <v>17</v>
      </c>
      <c r="D6" s="47"/>
      <c r="F6" s="48" t="s">
        <v>44</v>
      </c>
      <c r="J6" t="s">
        <v>138</v>
      </c>
      <c r="M6" t="s">
        <v>259</v>
      </c>
      <c r="N6" s="97">
        <v>181.76</v>
      </c>
    </row>
    <row r="7" spans="1:15" customFormat="1" ht="15.75" x14ac:dyDescent="0.25">
      <c r="A7" t="s">
        <v>238</v>
      </c>
      <c r="B7" s="29" t="s">
        <v>11</v>
      </c>
      <c r="D7" s="47"/>
      <c r="F7" s="48" t="s">
        <v>45</v>
      </c>
      <c r="M7" t="s">
        <v>260</v>
      </c>
      <c r="N7" s="98">
        <v>119.02</v>
      </c>
    </row>
    <row r="8" spans="1:15" customFormat="1" ht="30" x14ac:dyDescent="0.4">
      <c r="A8" t="s">
        <v>235</v>
      </c>
      <c r="B8" s="29" t="s">
        <v>10</v>
      </c>
      <c r="D8" s="47"/>
      <c r="F8" s="48" t="s">
        <v>29</v>
      </c>
      <c r="M8" t="s">
        <v>161</v>
      </c>
      <c r="N8" s="98">
        <v>357386</v>
      </c>
      <c r="O8" s="100"/>
    </row>
    <row r="9" spans="1:15" customFormat="1" ht="30" x14ac:dyDescent="0.4">
      <c r="A9" t="s">
        <v>131</v>
      </c>
      <c r="B9" s="29" t="s">
        <v>103</v>
      </c>
      <c r="D9" s="47"/>
      <c r="F9" s="48" t="s">
        <v>38</v>
      </c>
      <c r="M9" t="s">
        <v>165</v>
      </c>
      <c r="N9" s="95">
        <v>242495</v>
      </c>
      <c r="O9" s="100"/>
    </row>
    <row r="10" spans="1:15" customFormat="1" x14ac:dyDescent="0.25">
      <c r="A10" t="s">
        <v>132</v>
      </c>
      <c r="B10" s="29" t="s">
        <v>103</v>
      </c>
      <c r="D10" s="47"/>
      <c r="F10" s="48" t="s">
        <v>66</v>
      </c>
    </row>
    <row r="11" spans="1:15" customFormat="1" x14ac:dyDescent="0.25">
      <c r="A11" t="s">
        <v>133</v>
      </c>
      <c r="B11" s="29" t="s">
        <v>103</v>
      </c>
      <c r="D11" s="47"/>
    </row>
    <row r="12" spans="1:15" customFormat="1" x14ac:dyDescent="0.25">
      <c r="A12" t="s">
        <v>136</v>
      </c>
      <c r="B12" s="29" t="s">
        <v>103</v>
      </c>
      <c r="D12" s="47"/>
    </row>
    <row r="13" spans="1:15" customFormat="1" x14ac:dyDescent="0.25">
      <c r="A13" t="s">
        <v>134</v>
      </c>
      <c r="B13" s="29" t="s">
        <v>103</v>
      </c>
      <c r="D13" s="47"/>
    </row>
    <row r="14" spans="1:15" customFormat="1" x14ac:dyDescent="0.25">
      <c r="A14" t="s">
        <v>135</v>
      </c>
      <c r="B14" s="29" t="s">
        <v>103</v>
      </c>
      <c r="D14" s="47"/>
      <c r="F14" t="s">
        <v>312</v>
      </c>
      <c r="M14" t="s">
        <v>319</v>
      </c>
    </row>
    <row r="15" spans="1:15" customFormat="1" x14ac:dyDescent="0.25">
      <c r="A15" t="s">
        <v>150</v>
      </c>
      <c r="B15" s="29" t="s">
        <v>15</v>
      </c>
      <c r="D15" s="47"/>
      <c r="M15" s="127" t="s">
        <v>320</v>
      </c>
    </row>
    <row r="16" spans="1:15" customFormat="1" x14ac:dyDescent="0.25">
      <c r="A16" t="s">
        <v>147</v>
      </c>
      <c r="B16" s="29" t="s">
        <v>107</v>
      </c>
      <c r="D16" s="47"/>
      <c r="M16" s="127" t="s">
        <v>322</v>
      </c>
    </row>
    <row r="17" spans="1:13" customFormat="1" x14ac:dyDescent="0.25">
      <c r="A17" t="s">
        <v>146</v>
      </c>
      <c r="B17" s="29" t="s">
        <v>39</v>
      </c>
      <c r="D17" s="47"/>
      <c r="M17" s="127" t="s">
        <v>321</v>
      </c>
    </row>
    <row r="18" spans="1:13" customFormat="1" x14ac:dyDescent="0.25">
      <c r="A18" t="s">
        <v>145</v>
      </c>
      <c r="B18" s="29" t="s">
        <v>35</v>
      </c>
      <c r="D18" s="47"/>
      <c r="M18" s="127" t="s">
        <v>323</v>
      </c>
    </row>
    <row r="19" spans="1:13" customFormat="1" x14ac:dyDescent="0.25">
      <c r="A19" t="s">
        <v>148</v>
      </c>
      <c r="B19" s="29" t="s">
        <v>104</v>
      </c>
      <c r="D19" s="47"/>
      <c r="M19" s="127" t="s">
        <v>324</v>
      </c>
    </row>
    <row r="20" spans="1:13" customFormat="1" x14ac:dyDescent="0.25">
      <c r="A20" t="s">
        <v>149</v>
      </c>
      <c r="B20" s="29" t="s">
        <v>143</v>
      </c>
      <c r="D20" s="47"/>
      <c r="M20" s="127" t="s">
        <v>325</v>
      </c>
    </row>
    <row r="21" spans="1:13" customFormat="1" x14ac:dyDescent="0.25">
      <c r="A21" t="s">
        <v>151</v>
      </c>
      <c r="B21" s="29" t="s">
        <v>8</v>
      </c>
      <c r="D21" s="47"/>
      <c r="M21" s="128" t="s">
        <v>326</v>
      </c>
    </row>
    <row r="22" spans="1:13" customFormat="1" x14ac:dyDescent="0.25">
      <c r="A22" t="s">
        <v>234</v>
      </c>
      <c r="B22" s="29" t="s">
        <v>30</v>
      </c>
      <c r="D22" s="47"/>
    </row>
    <row r="23" spans="1:13" customFormat="1" x14ac:dyDescent="0.25">
      <c r="A23" t="s">
        <v>237</v>
      </c>
      <c r="B23" s="29" t="s">
        <v>22</v>
      </c>
      <c r="D23" s="47"/>
    </row>
    <row r="24" spans="1:13" customFormat="1" x14ac:dyDescent="0.25">
      <c r="A24" t="s">
        <v>236</v>
      </c>
      <c r="B24" s="29" t="s">
        <v>22</v>
      </c>
      <c r="D24" s="47"/>
    </row>
    <row r="25" spans="1:13" customFormat="1" x14ac:dyDescent="0.25">
      <c r="A25" t="s">
        <v>239</v>
      </c>
      <c r="B25" s="29" t="s">
        <v>10</v>
      </c>
      <c r="D25" s="47"/>
    </row>
    <row r="26" spans="1:13" customFormat="1" x14ac:dyDescent="0.25">
      <c r="A26" t="s">
        <v>240</v>
      </c>
      <c r="B26" s="29" t="s">
        <v>17</v>
      </c>
      <c r="D26" s="47"/>
    </row>
    <row r="27" spans="1:13" customFormat="1" x14ac:dyDescent="0.25">
      <c r="A27" t="s">
        <v>302</v>
      </c>
      <c r="B27" s="29" t="s">
        <v>25</v>
      </c>
      <c r="D27" s="47"/>
    </row>
    <row r="28" spans="1:13" customFormat="1" x14ac:dyDescent="0.25">
      <c r="A28" t="s">
        <v>303</v>
      </c>
      <c r="B28" s="29" t="s">
        <v>25</v>
      </c>
      <c r="D28" s="47"/>
    </row>
    <row r="29" spans="1:13" customFormat="1" x14ac:dyDescent="0.25">
      <c r="A29" t="s">
        <v>592</v>
      </c>
      <c r="B29" s="29" t="s">
        <v>102</v>
      </c>
      <c r="D29" s="47"/>
    </row>
    <row r="30" spans="1:13" customFormat="1" x14ac:dyDescent="0.25">
      <c r="B30" s="47"/>
      <c r="D30" s="47"/>
    </row>
    <row r="31" spans="1:13" customFormat="1" x14ac:dyDescent="0.25">
      <c r="B31" s="47"/>
      <c r="D31" s="47"/>
    </row>
    <row r="32" spans="1:13" customFormat="1" x14ac:dyDescent="0.25">
      <c r="B32" s="47"/>
      <c r="D32" s="47"/>
    </row>
    <row r="33" spans="1:16384" s="47" customFormat="1" x14ac:dyDescent="0.25"/>
    <row r="34" spans="1:16384" customFormat="1" x14ac:dyDescent="0.25">
      <c r="K34" s="4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c r="CC34" s="47"/>
      <c r="CD34" s="47"/>
      <c r="CE34" s="47"/>
      <c r="CF34" s="47"/>
      <c r="CG34" s="47"/>
      <c r="CH34" s="47"/>
      <c r="CI34" s="47"/>
      <c r="CJ34" s="47"/>
      <c r="CK34" s="47"/>
      <c r="CL34" s="47"/>
      <c r="CM34" s="47"/>
      <c r="CN34" s="47"/>
      <c r="CO34" s="47"/>
      <c r="CP34" s="47"/>
      <c r="CQ34" s="47"/>
      <c r="CR34" s="47"/>
      <c r="CS34" s="47"/>
      <c r="CT34" s="47"/>
      <c r="CU34" s="47"/>
      <c r="CV34" s="47"/>
      <c r="CW34" s="47"/>
      <c r="CX34" s="47"/>
      <c r="CY34" s="47"/>
      <c r="CZ34" s="47"/>
      <c r="DA34" s="47"/>
      <c r="DB34" s="47"/>
      <c r="DC34" s="47"/>
      <c r="DD34" s="47"/>
      <c r="DE34" s="47"/>
      <c r="DF34" s="47"/>
      <c r="DG34" s="47"/>
      <c r="DH34" s="47"/>
      <c r="DI34" s="47"/>
      <c r="DJ34" s="47"/>
      <c r="DK34" s="47"/>
      <c r="DL34" s="47"/>
      <c r="DM34" s="47"/>
      <c r="DN34" s="47"/>
      <c r="DO34" s="47"/>
      <c r="DP34" s="47"/>
      <c r="DQ34" s="47"/>
      <c r="DR34" s="47"/>
      <c r="DS34" s="47"/>
      <c r="DT34" s="47"/>
      <c r="DU34" s="47"/>
      <c r="DV34" s="47"/>
      <c r="DW34" s="47"/>
      <c r="DX34" s="47"/>
      <c r="DY34" s="47"/>
      <c r="DZ34" s="47"/>
      <c r="EA34" s="47"/>
      <c r="EB34" s="47"/>
      <c r="EC34" s="47"/>
      <c r="ED34" s="47"/>
      <c r="EE34" s="47"/>
      <c r="EF34" s="47"/>
      <c r="EG34" s="47"/>
      <c r="EH34" s="47"/>
      <c r="EI34" s="47"/>
      <c r="EJ34" s="47"/>
      <c r="EK34" s="47"/>
      <c r="EL34" s="47"/>
      <c r="EM34" s="47"/>
      <c r="EN34" s="47"/>
      <c r="EO34" s="47"/>
      <c r="EP34" s="47"/>
      <c r="EQ34" s="47"/>
      <c r="ER34" s="47"/>
      <c r="ES34" s="47"/>
      <c r="ET34" s="47"/>
      <c r="EU34" s="47"/>
      <c r="EV34" s="47"/>
      <c r="EW34" s="47"/>
      <c r="EX34" s="47"/>
      <c r="EY34" s="47"/>
      <c r="EZ34" s="47"/>
      <c r="FA34" s="47"/>
      <c r="FB34" s="47"/>
      <c r="FC34" s="47"/>
      <c r="FD34" s="47"/>
      <c r="FE34" s="47"/>
      <c r="FF34" s="47"/>
      <c r="FG34" s="47"/>
      <c r="FH34" s="47"/>
      <c r="FI34" s="47"/>
      <c r="FJ34" s="47"/>
      <c r="FK34" s="47"/>
      <c r="FL34" s="47"/>
      <c r="FM34" s="47"/>
      <c r="FN34" s="47"/>
      <c r="FO34" s="47"/>
      <c r="FP34" s="47"/>
      <c r="FQ34" s="47"/>
      <c r="FR34" s="47"/>
      <c r="FS34" s="47"/>
      <c r="FT34" s="47"/>
      <c r="FU34" s="47"/>
      <c r="FV34" s="47"/>
      <c r="FW34" s="47"/>
      <c r="FX34" s="47"/>
      <c r="FY34" s="47"/>
      <c r="FZ34" s="47"/>
      <c r="GA34" s="47"/>
      <c r="GB34" s="47"/>
      <c r="GC34" s="47"/>
      <c r="GD34" s="47"/>
      <c r="GE34" s="47"/>
      <c r="GF34" s="47"/>
      <c r="GG34" s="47"/>
      <c r="GH34" s="47"/>
      <c r="GI34" s="47"/>
      <c r="GJ34" s="47"/>
      <c r="GK34" s="47"/>
      <c r="GL34" s="47"/>
      <c r="GM34" s="47"/>
      <c r="GN34" s="47"/>
      <c r="GO34" s="47"/>
      <c r="GP34" s="47"/>
      <c r="GQ34" s="47"/>
      <c r="GR34" s="47"/>
      <c r="GS34" s="47"/>
      <c r="GT34" s="47"/>
      <c r="GU34" s="47"/>
      <c r="GV34" s="47"/>
      <c r="GW34" s="47"/>
      <c r="GX34" s="47"/>
      <c r="GY34" s="47"/>
      <c r="GZ34" s="47"/>
      <c r="HA34" s="47"/>
      <c r="HB34" s="47"/>
      <c r="HC34" s="47"/>
      <c r="HD34" s="47"/>
      <c r="HE34" s="47"/>
      <c r="HF34" s="47"/>
      <c r="HG34" s="47"/>
      <c r="HH34" s="47"/>
      <c r="HI34" s="47"/>
      <c r="HJ34" s="47"/>
      <c r="HK34" s="47"/>
      <c r="HL34" s="47"/>
      <c r="HM34" s="47"/>
      <c r="HN34" s="47"/>
      <c r="HO34" s="47"/>
      <c r="HP34" s="47"/>
      <c r="HQ34" s="47"/>
      <c r="HR34" s="47"/>
      <c r="HS34" s="47"/>
      <c r="HT34" s="47"/>
      <c r="HU34" s="47"/>
      <c r="HV34" s="47"/>
      <c r="HW34" s="47"/>
      <c r="HX34" s="47"/>
      <c r="HY34" s="47"/>
      <c r="HZ34" s="47"/>
      <c r="IA34" s="47"/>
      <c r="IB34" s="47"/>
      <c r="IC34" s="47"/>
      <c r="ID34" s="47"/>
      <c r="IE34" s="47"/>
      <c r="IF34" s="47"/>
      <c r="IG34" s="47"/>
      <c r="IH34" s="47"/>
      <c r="II34" s="47"/>
      <c r="IJ34" s="47"/>
      <c r="IK34" s="47"/>
      <c r="IL34" s="47"/>
      <c r="IM34" s="47"/>
      <c r="IN34" s="47"/>
      <c r="IO34" s="47"/>
      <c r="IP34" s="47"/>
      <c r="IQ34" s="47"/>
      <c r="IR34" s="47"/>
      <c r="IS34" s="47"/>
      <c r="IT34" s="47"/>
      <c r="IU34" s="47"/>
      <c r="IV34" s="47"/>
      <c r="IW34" s="47"/>
      <c r="IX34" s="47"/>
      <c r="IY34" s="47"/>
      <c r="IZ34" s="47"/>
      <c r="JA34" s="47"/>
      <c r="JB34" s="47"/>
      <c r="JC34" s="47"/>
      <c r="JD34" s="47"/>
      <c r="JE34" s="47"/>
      <c r="JF34" s="47"/>
      <c r="JG34" s="47"/>
      <c r="JH34" s="47"/>
      <c r="JI34" s="47"/>
      <c r="JJ34" s="47"/>
      <c r="JK34" s="47"/>
      <c r="JL34" s="47"/>
      <c r="JM34" s="47"/>
      <c r="JN34" s="47"/>
      <c r="JO34" s="47"/>
      <c r="JP34" s="47"/>
      <c r="JQ34" s="47"/>
      <c r="JR34" s="47"/>
      <c r="JS34" s="47"/>
      <c r="JT34" s="47"/>
      <c r="JU34" s="47"/>
      <c r="JV34" s="47"/>
      <c r="JW34" s="47"/>
      <c r="JX34" s="47"/>
      <c r="JY34" s="47"/>
      <c r="JZ34" s="47"/>
      <c r="KA34" s="47"/>
      <c r="KB34" s="47"/>
      <c r="KC34" s="47"/>
      <c r="KD34" s="47"/>
      <c r="KE34" s="47"/>
      <c r="KF34" s="47"/>
      <c r="KG34" s="47"/>
      <c r="KH34" s="47"/>
      <c r="KI34" s="47"/>
      <c r="KJ34" s="47"/>
      <c r="KK34" s="47"/>
      <c r="KL34" s="47"/>
      <c r="KM34" s="47"/>
      <c r="KN34" s="47"/>
      <c r="KO34" s="47"/>
      <c r="KP34" s="47"/>
      <c r="KQ34" s="47"/>
      <c r="KR34" s="47"/>
      <c r="KS34" s="47"/>
      <c r="KT34" s="47"/>
      <c r="KU34" s="47"/>
      <c r="KV34" s="47"/>
      <c r="KW34" s="47"/>
      <c r="KX34" s="47"/>
      <c r="KY34" s="47"/>
      <c r="KZ34" s="47"/>
      <c r="LA34" s="47"/>
      <c r="LB34" s="47"/>
      <c r="LC34" s="47"/>
      <c r="LD34" s="47"/>
      <c r="LE34" s="47"/>
      <c r="LF34" s="47"/>
      <c r="LG34" s="47"/>
      <c r="LH34" s="47"/>
      <c r="LI34" s="47"/>
      <c r="LJ34" s="47"/>
      <c r="LK34" s="47"/>
      <c r="LL34" s="47"/>
      <c r="LM34" s="47"/>
      <c r="LN34" s="47"/>
      <c r="LO34" s="47"/>
      <c r="LP34" s="47"/>
      <c r="LQ34" s="47"/>
      <c r="LR34" s="47"/>
      <c r="LS34" s="47"/>
      <c r="LT34" s="47"/>
      <c r="LU34" s="47"/>
      <c r="LV34" s="47"/>
      <c r="LW34" s="47"/>
      <c r="LX34" s="47"/>
      <c r="LY34" s="47"/>
      <c r="LZ34" s="47"/>
      <c r="MA34" s="47"/>
      <c r="MB34" s="47"/>
      <c r="MC34" s="47"/>
      <c r="MD34" s="47"/>
      <c r="ME34" s="47"/>
      <c r="MF34" s="47"/>
      <c r="MG34" s="47"/>
      <c r="MH34" s="47"/>
      <c r="MI34" s="47"/>
      <c r="MJ34" s="47"/>
      <c r="MK34" s="47"/>
      <c r="ML34" s="47"/>
      <c r="MM34" s="47"/>
      <c r="MN34" s="47"/>
      <c r="MO34" s="47"/>
      <c r="MP34" s="47"/>
      <c r="MQ34" s="47"/>
      <c r="MR34" s="47"/>
      <c r="MS34" s="47"/>
      <c r="MT34" s="47"/>
      <c r="MU34" s="47"/>
      <c r="MV34" s="47"/>
      <c r="MW34" s="47"/>
      <c r="MX34" s="47"/>
      <c r="MY34" s="47"/>
      <c r="MZ34" s="47"/>
      <c r="NA34" s="47"/>
      <c r="NB34" s="47"/>
      <c r="NC34" s="47"/>
      <c r="ND34" s="47"/>
      <c r="NE34" s="47"/>
      <c r="NF34" s="47"/>
      <c r="NG34" s="47"/>
      <c r="NH34" s="47"/>
      <c r="NI34" s="47"/>
      <c r="NJ34" s="47"/>
      <c r="NK34" s="47"/>
      <c r="NL34" s="47"/>
      <c r="NM34" s="47"/>
      <c r="NN34" s="47"/>
      <c r="NO34" s="47"/>
      <c r="NP34" s="47"/>
      <c r="NQ34" s="47"/>
      <c r="NR34" s="47"/>
      <c r="NS34" s="47"/>
      <c r="NT34" s="47"/>
      <c r="NU34" s="47"/>
      <c r="NV34" s="47"/>
      <c r="NW34" s="47"/>
      <c r="NX34" s="47"/>
      <c r="NY34" s="47"/>
      <c r="NZ34" s="47"/>
      <c r="OA34" s="47"/>
      <c r="OB34" s="47"/>
      <c r="OC34" s="47"/>
      <c r="OD34" s="47"/>
      <c r="OE34" s="47"/>
      <c r="OF34" s="47"/>
      <c r="OG34" s="47"/>
      <c r="OH34" s="47"/>
      <c r="OI34" s="47"/>
      <c r="OJ34" s="47"/>
      <c r="OK34" s="47"/>
      <c r="OL34" s="47"/>
      <c r="OM34" s="47"/>
      <c r="ON34" s="47"/>
      <c r="OO34" s="47"/>
      <c r="OP34" s="47"/>
      <c r="OQ34" s="47"/>
      <c r="OR34" s="47"/>
      <c r="OS34" s="47"/>
      <c r="OT34" s="47"/>
      <c r="OU34" s="47"/>
      <c r="OV34" s="47"/>
      <c r="OW34" s="47"/>
      <c r="OX34" s="47"/>
      <c r="OY34" s="47"/>
      <c r="OZ34" s="47"/>
      <c r="PA34" s="47"/>
      <c r="PB34" s="47"/>
      <c r="PC34" s="47"/>
      <c r="PD34" s="47"/>
      <c r="PE34" s="47"/>
      <c r="PF34" s="47"/>
      <c r="PG34" s="47"/>
      <c r="PH34" s="47"/>
      <c r="PI34" s="47"/>
      <c r="PJ34" s="47"/>
      <c r="PK34" s="47"/>
      <c r="PL34" s="47"/>
      <c r="PM34" s="47"/>
      <c r="PN34" s="47"/>
      <c r="PO34" s="47"/>
      <c r="PP34" s="47"/>
      <c r="PQ34" s="47"/>
      <c r="PR34" s="47"/>
      <c r="PS34" s="47"/>
      <c r="PT34" s="47"/>
      <c r="PU34" s="47"/>
      <c r="PV34" s="47"/>
      <c r="PW34" s="47"/>
      <c r="PX34" s="47"/>
      <c r="PY34" s="47"/>
      <c r="PZ34" s="47"/>
      <c r="QA34" s="47"/>
      <c r="QB34" s="47"/>
      <c r="QC34" s="47"/>
      <c r="QD34" s="47"/>
      <c r="QE34" s="47"/>
      <c r="QF34" s="47"/>
      <c r="QG34" s="47"/>
      <c r="QH34" s="47"/>
      <c r="QI34" s="47"/>
      <c r="QJ34" s="47"/>
      <c r="QK34" s="47"/>
      <c r="QL34" s="47"/>
      <c r="QM34" s="47"/>
      <c r="QN34" s="47"/>
      <c r="QO34" s="47"/>
      <c r="QP34" s="47"/>
      <c r="QQ34" s="47"/>
      <c r="QR34" s="47"/>
      <c r="QS34" s="47"/>
      <c r="QT34" s="47"/>
      <c r="QU34" s="47"/>
      <c r="QV34" s="47"/>
      <c r="QW34" s="47"/>
      <c r="QX34" s="47"/>
      <c r="QY34" s="47"/>
      <c r="QZ34" s="47"/>
      <c r="RA34" s="47"/>
      <c r="RB34" s="47"/>
      <c r="RC34" s="47"/>
      <c r="RD34" s="47"/>
      <c r="RE34" s="47"/>
      <c r="RF34" s="47"/>
      <c r="RG34" s="47"/>
      <c r="RH34" s="47"/>
      <c r="RI34" s="47"/>
      <c r="RJ34" s="47"/>
      <c r="RK34" s="47"/>
      <c r="RL34" s="47"/>
      <c r="RM34" s="47"/>
      <c r="RN34" s="47"/>
      <c r="RO34" s="47"/>
      <c r="RP34" s="47"/>
      <c r="RQ34" s="47"/>
      <c r="RR34" s="47"/>
      <c r="RS34" s="47"/>
      <c r="RT34" s="47"/>
      <c r="RU34" s="47"/>
      <c r="RV34" s="47"/>
      <c r="RW34" s="47"/>
      <c r="RX34" s="47"/>
      <c r="RY34" s="47"/>
      <c r="RZ34" s="47"/>
      <c r="SA34" s="47"/>
      <c r="SB34" s="47"/>
      <c r="SC34" s="47"/>
      <c r="SD34" s="47"/>
      <c r="SE34" s="47"/>
      <c r="SF34" s="47"/>
      <c r="SG34" s="47"/>
      <c r="SH34" s="47"/>
      <c r="SI34" s="47"/>
      <c r="SJ34" s="47"/>
      <c r="SK34" s="47"/>
      <c r="SL34" s="47"/>
      <c r="SM34" s="47"/>
      <c r="SN34" s="47"/>
      <c r="SO34" s="47"/>
      <c r="SP34" s="47"/>
      <c r="SQ34" s="47"/>
      <c r="SR34" s="47"/>
      <c r="SS34" s="47"/>
      <c r="ST34" s="47"/>
      <c r="SU34" s="47"/>
      <c r="SV34" s="47"/>
      <c r="SW34" s="47"/>
      <c r="SX34" s="47"/>
      <c r="SY34" s="47"/>
      <c r="SZ34" s="47"/>
      <c r="TA34" s="47"/>
      <c r="TB34" s="47"/>
      <c r="TC34" s="47"/>
      <c r="TD34" s="47"/>
      <c r="TE34" s="47"/>
      <c r="TF34" s="47"/>
      <c r="TG34" s="47"/>
      <c r="TH34" s="47"/>
      <c r="TI34" s="47"/>
      <c r="TJ34" s="47"/>
      <c r="TK34" s="47"/>
      <c r="TL34" s="47"/>
      <c r="TM34" s="47"/>
      <c r="TN34" s="47"/>
      <c r="TO34" s="47"/>
      <c r="TP34" s="47"/>
      <c r="TQ34" s="47"/>
      <c r="TR34" s="47"/>
      <c r="TS34" s="47"/>
      <c r="TT34" s="47"/>
      <c r="TU34" s="47"/>
      <c r="TV34" s="47"/>
      <c r="TW34" s="47"/>
      <c r="TX34" s="47"/>
      <c r="TY34" s="47"/>
      <c r="TZ34" s="47"/>
      <c r="UA34" s="47"/>
      <c r="UB34" s="47"/>
      <c r="UC34" s="47"/>
      <c r="UD34" s="47"/>
      <c r="UE34" s="47"/>
      <c r="UF34" s="47"/>
      <c r="UG34" s="47"/>
      <c r="UH34" s="47"/>
      <c r="UI34" s="47"/>
      <c r="UJ34" s="47"/>
      <c r="UK34" s="47"/>
      <c r="UL34" s="47"/>
      <c r="UM34" s="47"/>
      <c r="UN34" s="47"/>
      <c r="UO34" s="47"/>
      <c r="UP34" s="47"/>
      <c r="UQ34" s="47"/>
      <c r="UR34" s="47"/>
      <c r="US34" s="47"/>
      <c r="UT34" s="47"/>
      <c r="UU34" s="47"/>
      <c r="UV34" s="47"/>
      <c r="UW34" s="47"/>
      <c r="UX34" s="47"/>
      <c r="UY34" s="47"/>
      <c r="UZ34" s="47"/>
      <c r="VA34" s="47"/>
      <c r="VB34" s="47"/>
      <c r="VC34" s="47"/>
      <c r="VD34" s="47"/>
      <c r="VE34" s="47"/>
      <c r="VF34" s="47"/>
      <c r="VG34" s="47"/>
      <c r="VH34" s="47"/>
      <c r="VI34" s="47"/>
      <c r="VJ34" s="47"/>
      <c r="VK34" s="47"/>
      <c r="VL34" s="47"/>
      <c r="VM34" s="47"/>
      <c r="VN34" s="47"/>
      <c r="VO34" s="47"/>
      <c r="VP34" s="47"/>
      <c r="VQ34" s="47"/>
      <c r="VR34" s="47"/>
      <c r="VS34" s="47"/>
      <c r="VT34" s="47"/>
      <c r="VU34" s="47"/>
      <c r="VV34" s="47"/>
      <c r="VW34" s="47"/>
      <c r="VX34" s="47"/>
      <c r="VY34" s="47"/>
      <c r="VZ34" s="47"/>
      <c r="WA34" s="47"/>
      <c r="WB34" s="47"/>
      <c r="WC34" s="47"/>
      <c r="WD34" s="47"/>
      <c r="WE34" s="47"/>
      <c r="WF34" s="47"/>
      <c r="WG34" s="47"/>
      <c r="WH34" s="47"/>
      <c r="WI34" s="47"/>
      <c r="WJ34" s="47"/>
      <c r="WK34" s="47"/>
      <c r="WL34" s="47"/>
      <c r="WM34" s="47"/>
      <c r="WN34" s="47"/>
      <c r="WO34" s="47"/>
      <c r="WP34" s="47"/>
      <c r="WQ34" s="47"/>
      <c r="WR34" s="47"/>
      <c r="WS34" s="47"/>
      <c r="WT34" s="47"/>
      <c r="WU34" s="47"/>
      <c r="WV34" s="47"/>
      <c r="WW34" s="47"/>
      <c r="WX34" s="47"/>
      <c r="WY34" s="47"/>
      <c r="WZ34" s="47"/>
      <c r="XA34" s="47"/>
      <c r="XB34" s="47"/>
      <c r="XC34" s="47"/>
      <c r="XD34" s="47"/>
      <c r="XE34" s="47"/>
      <c r="XF34" s="47"/>
      <c r="XG34" s="47"/>
      <c r="XH34" s="47"/>
      <c r="XI34" s="47"/>
      <c r="XJ34" s="47"/>
      <c r="XK34" s="47"/>
      <c r="XL34" s="47"/>
      <c r="XM34" s="47"/>
      <c r="XN34" s="47"/>
      <c r="XO34" s="47"/>
      <c r="XP34" s="47"/>
      <c r="XQ34" s="47"/>
      <c r="XR34" s="47"/>
      <c r="XS34" s="47"/>
      <c r="XT34" s="47"/>
      <c r="XU34" s="47"/>
      <c r="XV34" s="47"/>
      <c r="XW34" s="47"/>
      <c r="XX34" s="47"/>
      <c r="XY34" s="47"/>
      <c r="XZ34" s="47"/>
      <c r="YA34" s="47"/>
      <c r="YB34" s="47"/>
      <c r="YC34" s="47"/>
      <c r="YD34" s="47"/>
      <c r="YE34" s="47"/>
      <c r="YF34" s="47"/>
      <c r="YG34" s="47"/>
      <c r="YH34" s="47"/>
      <c r="YI34" s="47"/>
      <c r="YJ34" s="47"/>
      <c r="YK34" s="47"/>
      <c r="YL34" s="47"/>
      <c r="YM34" s="47"/>
      <c r="YN34" s="47"/>
      <c r="YO34" s="47"/>
      <c r="YP34" s="47"/>
      <c r="YQ34" s="47"/>
      <c r="YR34" s="47"/>
      <c r="YS34" s="47"/>
      <c r="YT34" s="47"/>
      <c r="YU34" s="47"/>
      <c r="YV34" s="47"/>
      <c r="YW34" s="47"/>
      <c r="YX34" s="47"/>
      <c r="YY34" s="47"/>
      <c r="YZ34" s="47"/>
      <c r="ZA34" s="47"/>
      <c r="ZB34" s="47"/>
      <c r="ZC34" s="47"/>
      <c r="ZD34" s="47"/>
      <c r="ZE34" s="47"/>
      <c r="ZF34" s="47"/>
      <c r="ZG34" s="47"/>
      <c r="ZH34" s="47"/>
      <c r="ZI34" s="47"/>
      <c r="ZJ34" s="47"/>
      <c r="ZK34" s="47"/>
      <c r="ZL34" s="47"/>
      <c r="ZM34" s="47"/>
      <c r="ZN34" s="47"/>
      <c r="ZO34" s="47"/>
      <c r="ZP34" s="47"/>
      <c r="ZQ34" s="47"/>
      <c r="ZR34" s="47"/>
      <c r="ZS34" s="47"/>
      <c r="ZT34" s="47"/>
      <c r="ZU34" s="47"/>
      <c r="ZV34" s="47"/>
      <c r="ZW34" s="47"/>
      <c r="ZX34" s="47"/>
      <c r="ZY34" s="47"/>
      <c r="ZZ34" s="47"/>
      <c r="AAA34" s="47"/>
      <c r="AAB34" s="47"/>
      <c r="AAC34" s="47"/>
      <c r="AAD34" s="47"/>
      <c r="AAE34" s="47"/>
      <c r="AAF34" s="47"/>
      <c r="AAG34" s="47"/>
      <c r="AAH34" s="47"/>
      <c r="AAI34" s="47"/>
      <c r="AAJ34" s="47"/>
      <c r="AAK34" s="47"/>
      <c r="AAL34" s="47"/>
      <c r="AAM34" s="47"/>
      <c r="AAN34" s="47"/>
      <c r="AAO34" s="47"/>
      <c r="AAP34" s="47"/>
      <c r="AAQ34" s="47"/>
      <c r="AAR34" s="47"/>
      <c r="AAS34" s="47"/>
      <c r="AAT34" s="47"/>
      <c r="AAU34" s="47"/>
      <c r="AAV34" s="47"/>
      <c r="AAW34" s="47"/>
      <c r="AAX34" s="47"/>
      <c r="AAY34" s="47"/>
      <c r="AAZ34" s="47"/>
      <c r="ABA34" s="47"/>
      <c r="ABB34" s="47"/>
      <c r="ABC34" s="47"/>
      <c r="ABD34" s="47"/>
      <c r="ABE34" s="47"/>
      <c r="ABF34" s="47"/>
      <c r="ABG34" s="47"/>
      <c r="ABH34" s="47"/>
      <c r="ABI34" s="47"/>
      <c r="ABJ34" s="47"/>
      <c r="ABK34" s="47"/>
      <c r="ABL34" s="47"/>
      <c r="ABM34" s="47"/>
      <c r="ABN34" s="47"/>
      <c r="ABO34" s="47"/>
      <c r="ABP34" s="47"/>
      <c r="ABQ34" s="47"/>
      <c r="ABR34" s="47"/>
      <c r="ABS34" s="47"/>
      <c r="ABT34" s="47"/>
      <c r="ABU34" s="47"/>
      <c r="ABV34" s="47"/>
      <c r="ABW34" s="47"/>
      <c r="ABX34" s="47"/>
      <c r="ABY34" s="47"/>
      <c r="ABZ34" s="47"/>
      <c r="ACA34" s="47"/>
      <c r="ACB34" s="47"/>
      <c r="ACC34" s="47"/>
      <c r="ACD34" s="47"/>
      <c r="ACE34" s="47"/>
      <c r="ACF34" s="47"/>
      <c r="ACG34" s="47"/>
      <c r="ACH34" s="47"/>
      <c r="ACI34" s="47"/>
      <c r="ACJ34" s="47"/>
      <c r="ACK34" s="47"/>
      <c r="ACL34" s="47"/>
      <c r="ACM34" s="47"/>
      <c r="ACN34" s="47"/>
      <c r="ACO34" s="47"/>
      <c r="ACP34" s="47"/>
      <c r="ACQ34" s="47"/>
      <c r="ACR34" s="47"/>
      <c r="ACS34" s="47"/>
      <c r="ACT34" s="47"/>
      <c r="ACU34" s="47"/>
      <c r="ACV34" s="47"/>
      <c r="ACW34" s="47"/>
      <c r="ACX34" s="47"/>
      <c r="ACY34" s="47"/>
      <c r="ACZ34" s="47"/>
      <c r="ADA34" s="47"/>
      <c r="ADB34" s="47"/>
      <c r="ADC34" s="47"/>
      <c r="ADD34" s="47"/>
      <c r="ADE34" s="47"/>
      <c r="ADF34" s="47"/>
      <c r="ADG34" s="47"/>
      <c r="ADH34" s="47"/>
      <c r="ADI34" s="47"/>
      <c r="ADJ34" s="47"/>
      <c r="ADK34" s="47"/>
      <c r="ADL34" s="47"/>
      <c r="ADM34" s="47"/>
      <c r="ADN34" s="47"/>
      <c r="ADO34" s="47"/>
      <c r="ADP34" s="47"/>
      <c r="ADQ34" s="47"/>
      <c r="ADR34" s="47"/>
      <c r="ADS34" s="47"/>
      <c r="ADT34" s="47"/>
      <c r="ADU34" s="47"/>
      <c r="ADV34" s="47"/>
      <c r="ADW34" s="47"/>
      <c r="ADX34" s="47"/>
      <c r="ADY34" s="47"/>
      <c r="ADZ34" s="47"/>
      <c r="AEA34" s="47"/>
      <c r="AEB34" s="47"/>
      <c r="AEC34" s="47"/>
      <c r="AED34" s="47"/>
      <c r="AEE34" s="47"/>
      <c r="AEF34" s="47"/>
      <c r="AEG34" s="47"/>
      <c r="AEH34" s="47"/>
      <c r="AEI34" s="47"/>
      <c r="AEJ34" s="47"/>
      <c r="AEK34" s="47"/>
      <c r="AEL34" s="47"/>
      <c r="AEM34" s="47"/>
      <c r="AEN34" s="47"/>
      <c r="AEO34" s="47"/>
      <c r="AEP34" s="47"/>
      <c r="AEQ34" s="47"/>
      <c r="AER34" s="47"/>
      <c r="AES34" s="47"/>
      <c r="AET34" s="47"/>
      <c r="AEU34" s="47"/>
      <c r="AEV34" s="47"/>
      <c r="AEW34" s="47"/>
      <c r="AEX34" s="47"/>
      <c r="AEY34" s="47"/>
      <c r="AEZ34" s="47"/>
      <c r="AFA34" s="47"/>
      <c r="AFB34" s="47"/>
      <c r="AFC34" s="47"/>
      <c r="AFD34" s="47"/>
      <c r="AFE34" s="47"/>
      <c r="AFF34" s="47"/>
      <c r="AFG34" s="47"/>
      <c r="AFH34" s="47"/>
      <c r="AFI34" s="47"/>
      <c r="AFJ34" s="47"/>
      <c r="AFK34" s="47"/>
      <c r="AFL34" s="47"/>
      <c r="AFM34" s="47"/>
      <c r="AFN34" s="47"/>
      <c r="AFO34" s="47"/>
      <c r="AFP34" s="47"/>
      <c r="AFQ34" s="47"/>
      <c r="AFR34" s="47"/>
      <c r="AFS34" s="47"/>
      <c r="AFT34" s="47"/>
      <c r="AFU34" s="47"/>
      <c r="AFV34" s="47"/>
      <c r="AFW34" s="47"/>
      <c r="AFX34" s="47"/>
      <c r="AFY34" s="47"/>
      <c r="AFZ34" s="47"/>
      <c r="AGA34" s="47"/>
      <c r="AGB34" s="47"/>
      <c r="AGC34" s="47"/>
      <c r="AGD34" s="47"/>
      <c r="AGE34" s="47"/>
      <c r="AGF34" s="47"/>
      <c r="AGG34" s="47"/>
      <c r="AGH34" s="47"/>
      <c r="AGI34" s="47"/>
      <c r="AGJ34" s="47"/>
      <c r="AGK34" s="47"/>
      <c r="AGL34" s="47"/>
      <c r="AGM34" s="47"/>
      <c r="AGN34" s="47"/>
      <c r="AGO34" s="47"/>
      <c r="AGP34" s="47"/>
      <c r="AGQ34" s="47"/>
      <c r="AGR34" s="47"/>
      <c r="AGS34" s="47"/>
      <c r="AGT34" s="47"/>
      <c r="AGU34" s="47"/>
      <c r="AGV34" s="47"/>
      <c r="AGW34" s="47"/>
      <c r="AGX34" s="47"/>
      <c r="AGY34" s="47"/>
      <c r="AGZ34" s="47"/>
      <c r="AHA34" s="47"/>
      <c r="AHB34" s="47"/>
      <c r="AHC34" s="47"/>
      <c r="AHD34" s="47"/>
      <c r="AHE34" s="47"/>
      <c r="AHF34" s="47"/>
      <c r="AHG34" s="47"/>
      <c r="AHH34" s="47"/>
      <c r="AHI34" s="47"/>
      <c r="AHJ34" s="47"/>
      <c r="AHK34" s="47"/>
      <c r="AHL34" s="47"/>
      <c r="AHM34" s="47"/>
      <c r="AHN34" s="47"/>
      <c r="AHO34" s="47"/>
      <c r="AHP34" s="47"/>
      <c r="AHQ34" s="47"/>
      <c r="AHR34" s="47"/>
      <c r="AHS34" s="47"/>
      <c r="AHT34" s="47"/>
      <c r="AHU34" s="47"/>
      <c r="AHV34" s="47"/>
      <c r="AHW34" s="47"/>
      <c r="AHX34" s="47"/>
      <c r="AHY34" s="47"/>
      <c r="AHZ34" s="47"/>
      <c r="AIA34" s="47"/>
      <c r="AIB34" s="47"/>
      <c r="AIC34" s="47"/>
      <c r="AID34" s="47"/>
      <c r="AIE34" s="47"/>
      <c r="AIF34" s="47"/>
      <c r="AIG34" s="47"/>
      <c r="AIH34" s="47"/>
      <c r="AII34" s="47"/>
      <c r="AIJ34" s="47"/>
      <c r="AIK34" s="47"/>
      <c r="AIL34" s="47"/>
      <c r="AIM34" s="47"/>
      <c r="AIN34" s="47"/>
      <c r="AIO34" s="47"/>
      <c r="AIP34" s="47"/>
      <c r="AIQ34" s="47"/>
      <c r="AIR34" s="47"/>
      <c r="AIS34" s="47"/>
      <c r="AIT34" s="47"/>
      <c r="AIU34" s="47"/>
      <c r="AIV34" s="47"/>
      <c r="AIW34" s="47"/>
      <c r="AIX34" s="47"/>
      <c r="AIY34" s="47"/>
      <c r="AIZ34" s="47"/>
      <c r="AJA34" s="47"/>
      <c r="AJB34" s="47"/>
      <c r="AJC34" s="47"/>
      <c r="AJD34" s="47"/>
      <c r="AJE34" s="47"/>
      <c r="AJF34" s="47"/>
      <c r="AJG34" s="47"/>
      <c r="AJH34" s="47"/>
      <c r="AJI34" s="47"/>
      <c r="AJJ34" s="47"/>
      <c r="AJK34" s="47"/>
      <c r="AJL34" s="47"/>
      <c r="AJM34" s="47"/>
      <c r="AJN34" s="47"/>
      <c r="AJO34" s="47"/>
      <c r="AJP34" s="47"/>
      <c r="AJQ34" s="47"/>
      <c r="AJR34" s="47"/>
      <c r="AJS34" s="47"/>
      <c r="AJT34" s="47"/>
      <c r="AJU34" s="47"/>
      <c r="AJV34" s="47"/>
      <c r="AJW34" s="47"/>
      <c r="AJX34" s="47"/>
      <c r="AJY34" s="47"/>
      <c r="AJZ34" s="47"/>
      <c r="AKA34" s="47"/>
      <c r="AKB34" s="47"/>
      <c r="AKC34" s="47"/>
      <c r="AKD34" s="47"/>
      <c r="AKE34" s="47"/>
      <c r="AKF34" s="47"/>
      <c r="AKG34" s="47"/>
      <c r="AKH34" s="47"/>
      <c r="AKI34" s="47"/>
      <c r="AKJ34" s="47"/>
      <c r="AKK34" s="47"/>
      <c r="AKL34" s="47"/>
      <c r="AKM34" s="47"/>
      <c r="AKN34" s="47"/>
      <c r="AKO34" s="47"/>
      <c r="AKP34" s="47"/>
      <c r="AKQ34" s="47"/>
      <c r="AKR34" s="47"/>
      <c r="AKS34" s="47"/>
      <c r="AKT34" s="47"/>
      <c r="AKU34" s="47"/>
      <c r="AKV34" s="47"/>
      <c r="AKW34" s="47"/>
      <c r="AKX34" s="47"/>
      <c r="AKY34" s="47"/>
      <c r="AKZ34" s="47"/>
      <c r="ALA34" s="47"/>
      <c r="ALB34" s="47"/>
      <c r="ALC34" s="47"/>
      <c r="ALD34" s="47"/>
      <c r="ALE34" s="47"/>
      <c r="ALF34" s="47"/>
      <c r="ALG34" s="47"/>
      <c r="ALH34" s="47"/>
      <c r="ALI34" s="47"/>
      <c r="ALJ34" s="47"/>
      <c r="ALK34" s="47"/>
      <c r="ALL34" s="47"/>
      <c r="ALM34" s="47"/>
      <c r="ALN34" s="47"/>
      <c r="ALO34" s="47"/>
      <c r="ALP34" s="47"/>
      <c r="ALQ34" s="47"/>
      <c r="ALR34" s="47"/>
      <c r="ALS34" s="47"/>
      <c r="ALT34" s="47"/>
      <c r="ALU34" s="47"/>
      <c r="ALV34" s="47"/>
      <c r="ALW34" s="47"/>
      <c r="ALX34" s="47"/>
      <c r="ALY34" s="47"/>
      <c r="ALZ34" s="47"/>
      <c r="AMA34" s="47"/>
      <c r="AMB34" s="47"/>
      <c r="AMC34" s="47"/>
      <c r="AMD34" s="47"/>
      <c r="AME34" s="47"/>
      <c r="AMF34" s="47"/>
      <c r="AMG34" s="47"/>
      <c r="AMH34" s="47"/>
      <c r="AMI34" s="47"/>
      <c r="AMJ34" s="47"/>
      <c r="AMK34" s="47"/>
      <c r="AML34" s="47"/>
      <c r="AMM34" s="47"/>
      <c r="AMN34" s="47"/>
      <c r="AMO34" s="47"/>
      <c r="AMP34" s="47"/>
      <c r="AMQ34" s="47"/>
      <c r="AMR34" s="47"/>
      <c r="AMS34" s="47"/>
      <c r="AMT34" s="47"/>
      <c r="AMU34" s="47"/>
      <c r="AMV34" s="47"/>
      <c r="AMW34" s="47"/>
      <c r="AMX34" s="47"/>
      <c r="AMY34" s="47"/>
      <c r="AMZ34" s="47"/>
      <c r="ANA34" s="47"/>
      <c r="ANB34" s="47"/>
      <c r="ANC34" s="47"/>
      <c r="AND34" s="47"/>
      <c r="ANE34" s="47"/>
      <c r="ANF34" s="47"/>
      <c r="ANG34" s="47"/>
      <c r="ANH34" s="47"/>
      <c r="ANI34" s="47"/>
      <c r="ANJ34" s="47"/>
      <c r="ANK34" s="47"/>
      <c r="ANL34" s="47"/>
      <c r="ANM34" s="47"/>
      <c r="ANN34" s="47"/>
      <c r="ANO34" s="47"/>
      <c r="ANP34" s="47"/>
      <c r="ANQ34" s="47"/>
      <c r="ANR34" s="47"/>
      <c r="ANS34" s="47"/>
      <c r="ANT34" s="47"/>
      <c r="ANU34" s="47"/>
      <c r="ANV34" s="47"/>
      <c r="ANW34" s="47"/>
      <c r="ANX34" s="47"/>
      <c r="ANY34" s="47"/>
      <c r="ANZ34" s="47"/>
      <c r="AOA34" s="47"/>
      <c r="AOB34" s="47"/>
      <c r="AOC34" s="47"/>
      <c r="AOD34" s="47"/>
      <c r="AOE34" s="47"/>
      <c r="AOF34" s="47"/>
      <c r="AOG34" s="47"/>
      <c r="AOH34" s="47"/>
      <c r="AOI34" s="47"/>
      <c r="AOJ34" s="47"/>
      <c r="AOK34" s="47"/>
      <c r="AOL34" s="47"/>
      <c r="AOM34" s="47"/>
      <c r="AON34" s="47"/>
      <c r="AOO34" s="47"/>
      <c r="AOP34" s="47"/>
      <c r="AOQ34" s="47"/>
      <c r="AOR34" s="47"/>
      <c r="AOS34" s="47"/>
      <c r="AOT34" s="47"/>
      <c r="AOU34" s="47"/>
      <c r="AOV34" s="47"/>
      <c r="AOW34" s="47"/>
      <c r="AOX34" s="47"/>
      <c r="AOY34" s="47"/>
      <c r="AOZ34" s="47"/>
      <c r="APA34" s="47"/>
      <c r="APB34" s="47"/>
      <c r="APC34" s="47"/>
      <c r="APD34" s="47"/>
      <c r="APE34" s="47"/>
      <c r="APF34" s="47"/>
      <c r="APG34" s="47"/>
      <c r="APH34" s="47"/>
      <c r="API34" s="47"/>
      <c r="APJ34" s="47"/>
      <c r="APK34" s="47"/>
      <c r="APL34" s="47"/>
      <c r="APM34" s="47"/>
      <c r="APN34" s="47"/>
      <c r="APO34" s="47"/>
      <c r="APP34" s="47"/>
      <c r="APQ34" s="47"/>
      <c r="APR34" s="47"/>
      <c r="APS34" s="47"/>
      <c r="APT34" s="47"/>
      <c r="APU34" s="47"/>
      <c r="APV34" s="47"/>
      <c r="APW34" s="47"/>
      <c r="APX34" s="47"/>
      <c r="APY34" s="47"/>
      <c r="APZ34" s="47"/>
      <c r="AQA34" s="47"/>
      <c r="AQB34" s="47"/>
      <c r="AQC34" s="47"/>
      <c r="AQD34" s="47"/>
      <c r="AQE34" s="47"/>
      <c r="AQF34" s="47"/>
      <c r="AQG34" s="47"/>
      <c r="AQH34" s="47"/>
      <c r="AQI34" s="47"/>
      <c r="AQJ34" s="47"/>
      <c r="AQK34" s="47"/>
      <c r="AQL34" s="47"/>
      <c r="AQM34" s="47"/>
      <c r="AQN34" s="47"/>
      <c r="AQO34" s="47"/>
      <c r="AQP34" s="47"/>
      <c r="AQQ34" s="47"/>
      <c r="AQR34" s="47"/>
      <c r="AQS34" s="47"/>
      <c r="AQT34" s="47"/>
      <c r="AQU34" s="47"/>
      <c r="AQV34" s="47"/>
      <c r="AQW34" s="47"/>
      <c r="AQX34" s="47"/>
      <c r="AQY34" s="47"/>
      <c r="AQZ34" s="47"/>
      <c r="ARA34" s="47"/>
      <c r="ARB34" s="47"/>
      <c r="ARC34" s="47"/>
      <c r="ARD34" s="47"/>
      <c r="ARE34" s="47"/>
      <c r="ARF34" s="47"/>
      <c r="ARG34" s="47"/>
      <c r="ARH34" s="47"/>
      <c r="ARI34" s="47"/>
      <c r="ARJ34" s="47"/>
      <c r="ARK34" s="47"/>
      <c r="ARL34" s="47"/>
      <c r="ARM34" s="47"/>
      <c r="ARN34" s="47"/>
      <c r="ARO34" s="47"/>
      <c r="ARP34" s="47"/>
      <c r="ARQ34" s="47"/>
      <c r="ARR34" s="47"/>
      <c r="ARS34" s="47"/>
      <c r="ART34" s="47"/>
      <c r="ARU34" s="47"/>
      <c r="ARV34" s="47"/>
      <c r="ARW34" s="47"/>
      <c r="ARX34" s="47"/>
      <c r="ARY34" s="47"/>
      <c r="ARZ34" s="47"/>
      <c r="ASA34" s="47"/>
      <c r="ASB34" s="47"/>
      <c r="ASC34" s="47"/>
      <c r="ASD34" s="47"/>
      <c r="ASE34" s="47"/>
      <c r="ASF34" s="47"/>
      <c r="ASG34" s="47"/>
      <c r="ASH34" s="47"/>
      <c r="ASI34" s="47"/>
      <c r="ASJ34" s="47"/>
      <c r="ASK34" s="47"/>
      <c r="ASL34" s="47"/>
      <c r="ASM34" s="47"/>
      <c r="ASN34" s="47"/>
      <c r="ASO34" s="47"/>
      <c r="ASP34" s="47"/>
      <c r="ASQ34" s="47"/>
      <c r="ASR34" s="47"/>
      <c r="ASS34" s="47"/>
      <c r="AST34" s="47"/>
      <c r="ASU34" s="47"/>
      <c r="ASV34" s="47"/>
      <c r="ASW34" s="47"/>
      <c r="ASX34" s="47"/>
      <c r="ASY34" s="47"/>
      <c r="ASZ34" s="47"/>
      <c r="ATA34" s="47"/>
      <c r="ATB34" s="47"/>
      <c r="ATC34" s="47"/>
      <c r="ATD34" s="47"/>
      <c r="ATE34" s="47"/>
      <c r="ATF34" s="47"/>
      <c r="ATG34" s="47"/>
      <c r="ATH34" s="47"/>
      <c r="ATI34" s="47"/>
      <c r="ATJ34" s="47"/>
      <c r="ATK34" s="47"/>
      <c r="ATL34" s="47"/>
      <c r="ATM34" s="47"/>
      <c r="ATN34" s="47"/>
      <c r="ATO34" s="47"/>
      <c r="ATP34" s="47"/>
      <c r="ATQ34" s="47"/>
      <c r="ATR34" s="47"/>
      <c r="ATS34" s="47"/>
      <c r="ATT34" s="47"/>
      <c r="ATU34" s="47"/>
      <c r="ATV34" s="47"/>
      <c r="ATW34" s="47"/>
      <c r="ATX34" s="47"/>
      <c r="ATY34" s="47"/>
      <c r="ATZ34" s="47"/>
      <c r="AUA34" s="47"/>
      <c r="AUB34" s="47"/>
      <c r="AUC34" s="47"/>
      <c r="AUD34" s="47"/>
      <c r="AUE34" s="47"/>
      <c r="AUF34" s="47"/>
      <c r="AUG34" s="47"/>
      <c r="AUH34" s="47"/>
      <c r="AUI34" s="47"/>
      <c r="AUJ34" s="47"/>
      <c r="AUK34" s="47"/>
      <c r="AUL34" s="47"/>
      <c r="AUM34" s="47"/>
      <c r="AUN34" s="47"/>
      <c r="AUO34" s="47"/>
      <c r="AUP34" s="47"/>
      <c r="AUQ34" s="47"/>
      <c r="AUR34" s="47"/>
      <c r="AUS34" s="47"/>
      <c r="AUT34" s="47"/>
      <c r="AUU34" s="47"/>
      <c r="AUV34" s="47"/>
      <c r="AUW34" s="47"/>
      <c r="AUX34" s="47"/>
      <c r="AUY34" s="47"/>
      <c r="AUZ34" s="47"/>
      <c r="AVA34" s="47"/>
      <c r="AVB34" s="47"/>
      <c r="AVC34" s="47"/>
      <c r="AVD34" s="47"/>
      <c r="AVE34" s="47"/>
      <c r="AVF34" s="47"/>
      <c r="AVG34" s="47"/>
      <c r="AVH34" s="47"/>
      <c r="AVI34" s="47"/>
      <c r="AVJ34" s="47"/>
      <c r="AVK34" s="47"/>
      <c r="AVL34" s="47"/>
      <c r="AVM34" s="47"/>
      <c r="AVN34" s="47"/>
      <c r="AVO34" s="47"/>
      <c r="AVP34" s="47"/>
      <c r="AVQ34" s="47"/>
      <c r="AVR34" s="47"/>
      <c r="AVS34" s="47"/>
      <c r="AVT34" s="47"/>
      <c r="AVU34" s="47"/>
      <c r="AVV34" s="47"/>
      <c r="AVW34" s="47"/>
      <c r="AVX34" s="47"/>
      <c r="AVY34" s="47"/>
      <c r="AVZ34" s="47"/>
      <c r="AWA34" s="47"/>
      <c r="AWB34" s="47"/>
      <c r="AWC34" s="47"/>
      <c r="AWD34" s="47"/>
      <c r="AWE34" s="47"/>
      <c r="AWF34" s="47"/>
      <c r="AWG34" s="47"/>
      <c r="AWH34" s="47"/>
      <c r="AWI34" s="47"/>
      <c r="AWJ34" s="47"/>
      <c r="AWK34" s="47"/>
      <c r="AWL34" s="47"/>
      <c r="AWM34" s="47"/>
      <c r="AWN34" s="47"/>
      <c r="AWO34" s="47"/>
      <c r="AWP34" s="47"/>
      <c r="AWQ34" s="47"/>
      <c r="AWR34" s="47"/>
      <c r="AWS34" s="47"/>
      <c r="AWT34" s="47"/>
      <c r="AWU34" s="47"/>
      <c r="AWV34" s="47"/>
      <c r="AWW34" s="47"/>
      <c r="AWX34" s="47"/>
      <c r="AWY34" s="47"/>
      <c r="AWZ34" s="47"/>
      <c r="AXA34" s="47"/>
      <c r="AXB34" s="47"/>
      <c r="AXC34" s="47"/>
      <c r="AXD34" s="47"/>
      <c r="AXE34" s="47"/>
      <c r="AXF34" s="47"/>
      <c r="AXG34" s="47"/>
      <c r="AXH34" s="47"/>
      <c r="AXI34" s="47"/>
      <c r="AXJ34" s="47"/>
      <c r="AXK34" s="47"/>
      <c r="AXL34" s="47"/>
      <c r="AXM34" s="47"/>
      <c r="AXN34" s="47"/>
      <c r="AXO34" s="47"/>
      <c r="AXP34" s="47"/>
      <c r="AXQ34" s="47"/>
      <c r="AXR34" s="47"/>
      <c r="AXS34" s="47"/>
      <c r="AXT34" s="47"/>
      <c r="AXU34" s="47"/>
      <c r="AXV34" s="47"/>
      <c r="AXW34" s="47"/>
      <c r="AXX34" s="47"/>
      <c r="AXY34" s="47"/>
      <c r="AXZ34" s="47"/>
      <c r="AYA34" s="47"/>
      <c r="AYB34" s="47"/>
      <c r="AYC34" s="47"/>
      <c r="AYD34" s="47"/>
      <c r="AYE34" s="47"/>
      <c r="AYF34" s="47"/>
      <c r="AYG34" s="47"/>
      <c r="AYH34" s="47"/>
      <c r="AYI34" s="47"/>
      <c r="AYJ34" s="47"/>
      <c r="AYK34" s="47"/>
      <c r="AYL34" s="47"/>
      <c r="AYM34" s="47"/>
      <c r="AYN34" s="47"/>
      <c r="AYO34" s="47"/>
      <c r="AYP34" s="47"/>
      <c r="AYQ34" s="47"/>
      <c r="AYR34" s="47"/>
      <c r="AYS34" s="47"/>
      <c r="AYT34" s="47"/>
      <c r="AYU34" s="47"/>
      <c r="AYV34" s="47"/>
      <c r="AYW34" s="47"/>
      <c r="AYX34" s="47"/>
      <c r="AYY34" s="47"/>
      <c r="AYZ34" s="47"/>
      <c r="AZA34" s="47"/>
      <c r="AZB34" s="47"/>
      <c r="AZC34" s="47"/>
      <c r="AZD34" s="47"/>
      <c r="AZE34" s="47"/>
      <c r="AZF34" s="47"/>
      <c r="AZG34" s="47"/>
      <c r="AZH34" s="47"/>
      <c r="AZI34" s="47"/>
      <c r="AZJ34" s="47"/>
      <c r="AZK34" s="47"/>
      <c r="AZL34" s="47"/>
      <c r="AZM34" s="47"/>
      <c r="AZN34" s="47"/>
      <c r="AZO34" s="47"/>
      <c r="AZP34" s="47"/>
      <c r="AZQ34" s="47"/>
      <c r="AZR34" s="47"/>
      <c r="AZS34" s="47"/>
      <c r="AZT34" s="47"/>
      <c r="AZU34" s="47"/>
      <c r="AZV34" s="47"/>
      <c r="AZW34" s="47"/>
      <c r="AZX34" s="47"/>
      <c r="AZY34" s="47"/>
      <c r="AZZ34" s="47"/>
      <c r="BAA34" s="47"/>
      <c r="BAB34" s="47"/>
      <c r="BAC34" s="47"/>
      <c r="BAD34" s="47"/>
      <c r="BAE34" s="47"/>
      <c r="BAF34" s="47"/>
      <c r="BAG34" s="47"/>
      <c r="BAH34" s="47"/>
      <c r="BAI34" s="47"/>
      <c r="BAJ34" s="47"/>
      <c r="BAK34" s="47"/>
      <c r="BAL34" s="47"/>
      <c r="BAM34" s="47"/>
      <c r="BAN34" s="47"/>
      <c r="BAO34" s="47"/>
      <c r="BAP34" s="47"/>
      <c r="BAQ34" s="47"/>
      <c r="BAR34" s="47"/>
      <c r="BAS34" s="47"/>
      <c r="BAT34" s="47"/>
      <c r="BAU34" s="47"/>
      <c r="BAV34" s="47"/>
      <c r="BAW34" s="47"/>
      <c r="BAX34" s="47"/>
      <c r="BAY34" s="47"/>
      <c r="BAZ34" s="47"/>
      <c r="BBA34" s="47"/>
      <c r="BBB34" s="47"/>
      <c r="BBC34" s="47"/>
      <c r="BBD34" s="47"/>
      <c r="BBE34" s="47"/>
      <c r="BBF34" s="47"/>
      <c r="BBG34" s="47"/>
      <c r="BBH34" s="47"/>
      <c r="BBI34" s="47"/>
      <c r="BBJ34" s="47"/>
      <c r="BBK34" s="47"/>
      <c r="BBL34" s="47"/>
      <c r="BBM34" s="47"/>
      <c r="BBN34" s="47"/>
      <c r="BBO34" s="47"/>
      <c r="BBP34" s="47"/>
      <c r="BBQ34" s="47"/>
      <c r="BBR34" s="47"/>
      <c r="BBS34" s="47"/>
      <c r="BBT34" s="47"/>
      <c r="BBU34" s="47"/>
      <c r="BBV34" s="47"/>
      <c r="BBW34" s="47"/>
      <c r="BBX34" s="47"/>
      <c r="BBY34" s="47"/>
      <c r="BBZ34" s="47"/>
      <c r="BCA34" s="47"/>
      <c r="BCB34" s="47"/>
      <c r="BCC34" s="47"/>
      <c r="BCD34" s="47"/>
      <c r="BCE34" s="47"/>
      <c r="BCF34" s="47"/>
      <c r="BCG34" s="47"/>
      <c r="BCH34" s="47"/>
      <c r="BCI34" s="47"/>
      <c r="BCJ34" s="47"/>
      <c r="BCK34" s="47"/>
      <c r="BCL34" s="47"/>
      <c r="BCM34" s="47"/>
      <c r="BCN34" s="47"/>
      <c r="BCO34" s="47"/>
      <c r="BCP34" s="47"/>
      <c r="BCQ34" s="47"/>
      <c r="BCR34" s="47"/>
      <c r="BCS34" s="47"/>
      <c r="BCT34" s="47"/>
      <c r="BCU34" s="47"/>
      <c r="BCV34" s="47"/>
      <c r="BCW34" s="47"/>
      <c r="BCX34" s="47"/>
      <c r="BCY34" s="47"/>
      <c r="BCZ34" s="47"/>
      <c r="BDA34" s="47"/>
      <c r="BDB34" s="47"/>
      <c r="BDC34" s="47"/>
      <c r="BDD34" s="47"/>
      <c r="BDE34" s="47"/>
      <c r="BDF34" s="47"/>
      <c r="BDG34" s="47"/>
      <c r="BDH34" s="47"/>
      <c r="BDI34" s="47"/>
      <c r="BDJ34" s="47"/>
      <c r="BDK34" s="47"/>
      <c r="BDL34" s="47"/>
      <c r="BDM34" s="47"/>
      <c r="BDN34" s="47"/>
      <c r="BDO34" s="47"/>
      <c r="BDP34" s="47"/>
      <c r="BDQ34" s="47"/>
      <c r="BDR34" s="47"/>
      <c r="BDS34" s="47"/>
      <c r="BDT34" s="47"/>
      <c r="BDU34" s="47"/>
      <c r="BDV34" s="47"/>
      <c r="BDW34" s="47"/>
      <c r="BDX34" s="47"/>
      <c r="BDY34" s="47"/>
      <c r="BDZ34" s="47"/>
      <c r="BEA34" s="47"/>
      <c r="BEB34" s="47"/>
      <c r="BEC34" s="47"/>
      <c r="BED34" s="47"/>
      <c r="BEE34" s="47"/>
      <c r="BEF34" s="47"/>
      <c r="BEG34" s="47"/>
      <c r="BEH34" s="47"/>
      <c r="BEI34" s="47"/>
      <c r="BEJ34" s="47"/>
      <c r="BEK34" s="47"/>
      <c r="BEL34" s="47"/>
      <c r="BEM34" s="47"/>
      <c r="BEN34" s="47"/>
      <c r="BEO34" s="47"/>
      <c r="BEP34" s="47"/>
      <c r="BEQ34" s="47"/>
      <c r="BER34" s="47"/>
      <c r="BES34" s="47"/>
      <c r="BET34" s="47"/>
      <c r="BEU34" s="47"/>
      <c r="BEV34" s="47"/>
      <c r="BEW34" s="47"/>
      <c r="BEX34" s="47"/>
      <c r="BEY34" s="47"/>
      <c r="BEZ34" s="47"/>
      <c r="BFA34" s="47"/>
      <c r="BFB34" s="47"/>
      <c r="BFC34" s="47"/>
      <c r="BFD34" s="47"/>
      <c r="BFE34" s="47"/>
      <c r="BFF34" s="47"/>
      <c r="BFG34" s="47"/>
      <c r="BFH34" s="47"/>
      <c r="BFI34" s="47"/>
      <c r="BFJ34" s="47"/>
      <c r="BFK34" s="47"/>
      <c r="BFL34" s="47"/>
      <c r="BFM34" s="47"/>
      <c r="BFN34" s="47"/>
      <c r="BFO34" s="47"/>
      <c r="BFP34" s="47"/>
      <c r="BFQ34" s="47"/>
      <c r="BFR34" s="47"/>
      <c r="BFS34" s="47"/>
      <c r="BFT34" s="47"/>
      <c r="BFU34" s="47"/>
      <c r="BFV34" s="47"/>
      <c r="BFW34" s="47"/>
      <c r="BFX34" s="47"/>
      <c r="BFY34" s="47"/>
      <c r="BFZ34" s="47"/>
      <c r="BGA34" s="47"/>
      <c r="BGB34" s="47"/>
      <c r="BGC34" s="47"/>
      <c r="BGD34" s="47"/>
      <c r="BGE34" s="47"/>
      <c r="BGF34" s="47"/>
      <c r="BGG34" s="47"/>
      <c r="BGH34" s="47"/>
      <c r="BGI34" s="47"/>
      <c r="BGJ34" s="47"/>
      <c r="BGK34" s="47"/>
      <c r="BGL34" s="47"/>
      <c r="BGM34" s="47"/>
      <c r="BGN34" s="47"/>
      <c r="BGO34" s="47"/>
      <c r="BGP34" s="47"/>
      <c r="BGQ34" s="47"/>
      <c r="BGR34" s="47"/>
      <c r="BGS34" s="47"/>
      <c r="BGT34" s="47"/>
      <c r="BGU34" s="47"/>
      <c r="BGV34" s="47"/>
      <c r="BGW34" s="47"/>
      <c r="BGX34" s="47"/>
      <c r="BGY34" s="47"/>
      <c r="BGZ34" s="47"/>
      <c r="BHA34" s="47"/>
      <c r="BHB34" s="47"/>
      <c r="BHC34" s="47"/>
      <c r="BHD34" s="47"/>
      <c r="BHE34" s="47"/>
      <c r="BHF34" s="47"/>
      <c r="BHG34" s="47"/>
      <c r="BHH34" s="47"/>
      <c r="BHI34" s="47"/>
      <c r="BHJ34" s="47"/>
      <c r="BHK34" s="47"/>
      <c r="BHL34" s="47"/>
      <c r="BHM34" s="47"/>
      <c r="BHN34" s="47"/>
      <c r="BHO34" s="47"/>
      <c r="BHP34" s="47"/>
      <c r="BHQ34" s="47"/>
      <c r="BHR34" s="47"/>
      <c r="BHS34" s="47"/>
      <c r="BHT34" s="47"/>
      <c r="BHU34" s="47"/>
      <c r="BHV34" s="47"/>
      <c r="BHW34" s="47"/>
      <c r="BHX34" s="47"/>
      <c r="BHY34" s="47"/>
      <c r="BHZ34" s="47"/>
      <c r="BIA34" s="47"/>
      <c r="BIB34" s="47"/>
      <c r="BIC34" s="47"/>
      <c r="BID34" s="47"/>
      <c r="BIE34" s="47"/>
      <c r="BIF34" s="47"/>
      <c r="BIG34" s="47"/>
      <c r="BIH34" s="47"/>
      <c r="BII34" s="47"/>
      <c r="BIJ34" s="47"/>
      <c r="BIK34" s="47"/>
      <c r="BIL34" s="47"/>
      <c r="BIM34" s="47"/>
      <c r="BIN34" s="47"/>
      <c r="BIO34" s="47"/>
      <c r="BIP34" s="47"/>
      <c r="BIQ34" s="47"/>
      <c r="BIR34" s="47"/>
      <c r="BIS34" s="47"/>
      <c r="BIT34" s="47"/>
      <c r="BIU34" s="47"/>
      <c r="BIV34" s="47"/>
      <c r="BIW34" s="47"/>
      <c r="BIX34" s="47"/>
      <c r="BIY34" s="47"/>
      <c r="BIZ34" s="47"/>
      <c r="BJA34" s="47"/>
      <c r="BJB34" s="47"/>
      <c r="BJC34" s="47"/>
      <c r="BJD34" s="47"/>
      <c r="BJE34" s="47"/>
      <c r="BJF34" s="47"/>
      <c r="BJG34" s="47"/>
      <c r="BJH34" s="47"/>
      <c r="BJI34" s="47"/>
      <c r="BJJ34" s="47"/>
      <c r="BJK34" s="47"/>
      <c r="BJL34" s="47"/>
      <c r="BJM34" s="47"/>
      <c r="BJN34" s="47"/>
      <c r="BJO34" s="47"/>
      <c r="BJP34" s="47"/>
      <c r="BJQ34" s="47"/>
      <c r="BJR34" s="47"/>
      <c r="BJS34" s="47"/>
      <c r="BJT34" s="47"/>
      <c r="BJU34" s="47"/>
      <c r="BJV34" s="47"/>
      <c r="BJW34" s="47"/>
      <c r="BJX34" s="47"/>
      <c r="BJY34" s="47"/>
      <c r="BJZ34" s="47"/>
      <c r="BKA34" s="47"/>
      <c r="BKB34" s="47"/>
      <c r="BKC34" s="47"/>
      <c r="BKD34" s="47"/>
      <c r="BKE34" s="47"/>
      <c r="BKF34" s="47"/>
      <c r="BKG34" s="47"/>
      <c r="BKH34" s="47"/>
      <c r="BKI34" s="47"/>
      <c r="BKJ34" s="47"/>
      <c r="BKK34" s="47"/>
      <c r="BKL34" s="47"/>
      <c r="BKM34" s="47"/>
      <c r="BKN34" s="47"/>
      <c r="BKO34" s="47"/>
      <c r="BKP34" s="47"/>
      <c r="BKQ34" s="47"/>
      <c r="BKR34" s="47"/>
      <c r="BKS34" s="47"/>
      <c r="BKT34" s="47"/>
      <c r="BKU34" s="47"/>
      <c r="BKV34" s="47"/>
      <c r="BKW34" s="47"/>
      <c r="BKX34" s="47"/>
      <c r="BKY34" s="47"/>
      <c r="BKZ34" s="47"/>
      <c r="BLA34" s="47"/>
      <c r="BLB34" s="47"/>
      <c r="BLC34" s="47"/>
      <c r="BLD34" s="47"/>
      <c r="BLE34" s="47"/>
      <c r="BLF34" s="47"/>
      <c r="BLG34" s="47"/>
      <c r="BLH34" s="47"/>
      <c r="BLI34" s="47"/>
      <c r="BLJ34" s="47"/>
      <c r="BLK34" s="47"/>
      <c r="BLL34" s="47"/>
      <c r="BLM34" s="47"/>
      <c r="BLN34" s="47"/>
      <c r="BLO34" s="47"/>
      <c r="BLP34" s="47"/>
      <c r="BLQ34" s="47"/>
      <c r="BLR34" s="47"/>
      <c r="BLS34" s="47"/>
      <c r="BLT34" s="47"/>
      <c r="BLU34" s="47"/>
      <c r="BLV34" s="47"/>
      <c r="BLW34" s="47"/>
      <c r="BLX34" s="47"/>
      <c r="BLY34" s="47"/>
      <c r="BLZ34" s="47"/>
      <c r="BMA34" s="47"/>
      <c r="BMB34" s="47"/>
      <c r="BMC34" s="47"/>
      <c r="BMD34" s="47"/>
      <c r="BME34" s="47"/>
      <c r="BMF34" s="47"/>
      <c r="BMG34" s="47"/>
      <c r="BMH34" s="47"/>
      <c r="BMI34" s="47"/>
      <c r="BMJ34" s="47"/>
      <c r="BMK34" s="47"/>
      <c r="BML34" s="47"/>
      <c r="BMM34" s="47"/>
      <c r="BMN34" s="47"/>
      <c r="BMO34" s="47"/>
      <c r="BMP34" s="47"/>
      <c r="BMQ34" s="47"/>
      <c r="BMR34" s="47"/>
      <c r="BMS34" s="47"/>
      <c r="BMT34" s="47"/>
      <c r="BMU34" s="47"/>
      <c r="BMV34" s="47"/>
      <c r="BMW34" s="47"/>
      <c r="BMX34" s="47"/>
      <c r="BMY34" s="47"/>
      <c r="BMZ34" s="47"/>
      <c r="BNA34" s="47"/>
      <c r="BNB34" s="47"/>
      <c r="BNC34" s="47"/>
      <c r="BND34" s="47"/>
      <c r="BNE34" s="47"/>
      <c r="BNF34" s="47"/>
      <c r="BNG34" s="47"/>
      <c r="BNH34" s="47"/>
      <c r="BNI34" s="47"/>
      <c r="BNJ34" s="47"/>
      <c r="BNK34" s="47"/>
      <c r="BNL34" s="47"/>
      <c r="BNM34" s="47"/>
      <c r="BNN34" s="47"/>
      <c r="BNO34" s="47"/>
      <c r="BNP34" s="47"/>
      <c r="BNQ34" s="47"/>
      <c r="BNR34" s="47"/>
      <c r="BNS34" s="47"/>
      <c r="BNT34" s="47"/>
      <c r="BNU34" s="47"/>
      <c r="BNV34" s="47"/>
      <c r="BNW34" s="47"/>
      <c r="BNX34" s="47"/>
      <c r="BNY34" s="47"/>
      <c r="BNZ34" s="47"/>
      <c r="BOA34" s="47"/>
      <c r="BOB34" s="47"/>
      <c r="BOC34" s="47"/>
      <c r="BOD34" s="47"/>
      <c r="BOE34" s="47"/>
      <c r="BOF34" s="47"/>
      <c r="BOG34" s="47"/>
      <c r="BOH34" s="47"/>
      <c r="BOI34" s="47"/>
      <c r="BOJ34" s="47"/>
      <c r="BOK34" s="47"/>
      <c r="BOL34" s="47"/>
      <c r="BOM34" s="47"/>
      <c r="BON34" s="47"/>
      <c r="BOO34" s="47"/>
      <c r="BOP34" s="47"/>
      <c r="BOQ34" s="47"/>
      <c r="BOR34" s="47"/>
      <c r="BOS34" s="47"/>
      <c r="BOT34" s="47"/>
      <c r="BOU34" s="47"/>
      <c r="BOV34" s="47"/>
      <c r="BOW34" s="47"/>
      <c r="BOX34" s="47"/>
      <c r="BOY34" s="47"/>
      <c r="BOZ34" s="47"/>
      <c r="BPA34" s="47"/>
      <c r="BPB34" s="47"/>
      <c r="BPC34" s="47"/>
      <c r="BPD34" s="47"/>
      <c r="BPE34" s="47"/>
      <c r="BPF34" s="47"/>
      <c r="BPG34" s="47"/>
      <c r="BPH34" s="47"/>
      <c r="BPI34" s="47"/>
      <c r="BPJ34" s="47"/>
      <c r="BPK34" s="47"/>
      <c r="BPL34" s="47"/>
      <c r="BPM34" s="47"/>
      <c r="BPN34" s="47"/>
      <c r="BPO34" s="47"/>
      <c r="BPP34" s="47"/>
      <c r="BPQ34" s="47"/>
      <c r="BPR34" s="47"/>
      <c r="BPS34" s="47"/>
      <c r="BPT34" s="47"/>
      <c r="BPU34" s="47"/>
      <c r="BPV34" s="47"/>
      <c r="BPW34" s="47"/>
      <c r="BPX34" s="47"/>
      <c r="BPY34" s="47"/>
      <c r="BPZ34" s="47"/>
      <c r="BQA34" s="47"/>
      <c r="BQB34" s="47"/>
      <c r="BQC34" s="47"/>
      <c r="BQD34" s="47"/>
      <c r="BQE34" s="47"/>
      <c r="BQF34" s="47"/>
      <c r="BQG34" s="47"/>
      <c r="BQH34" s="47"/>
      <c r="BQI34" s="47"/>
      <c r="BQJ34" s="47"/>
      <c r="BQK34" s="47"/>
      <c r="BQL34" s="47"/>
      <c r="BQM34" s="47"/>
      <c r="BQN34" s="47"/>
      <c r="BQO34" s="47"/>
      <c r="BQP34" s="47"/>
      <c r="BQQ34" s="47"/>
      <c r="BQR34" s="47"/>
      <c r="BQS34" s="47"/>
      <c r="BQT34" s="47"/>
      <c r="BQU34" s="47"/>
      <c r="BQV34" s="47"/>
      <c r="BQW34" s="47"/>
      <c r="BQX34" s="47"/>
      <c r="BQY34" s="47"/>
      <c r="BQZ34" s="47"/>
      <c r="BRA34" s="47"/>
      <c r="BRB34" s="47"/>
      <c r="BRC34" s="47"/>
      <c r="BRD34" s="47"/>
      <c r="BRE34" s="47"/>
      <c r="BRF34" s="47"/>
      <c r="BRG34" s="47"/>
      <c r="BRH34" s="47"/>
      <c r="BRI34" s="47"/>
      <c r="BRJ34" s="47"/>
      <c r="BRK34" s="47"/>
      <c r="BRL34" s="47"/>
      <c r="BRM34" s="47"/>
      <c r="BRN34" s="47"/>
      <c r="BRO34" s="47"/>
      <c r="BRP34" s="47"/>
      <c r="BRQ34" s="47"/>
      <c r="BRR34" s="47"/>
      <c r="BRS34" s="47"/>
      <c r="BRT34" s="47"/>
      <c r="BRU34" s="47"/>
      <c r="BRV34" s="47"/>
      <c r="BRW34" s="47"/>
      <c r="BRX34" s="47"/>
      <c r="BRY34" s="47"/>
      <c r="BRZ34" s="47"/>
      <c r="BSA34" s="47"/>
      <c r="BSB34" s="47"/>
      <c r="BSC34" s="47"/>
      <c r="BSD34" s="47"/>
      <c r="BSE34" s="47"/>
      <c r="BSF34" s="47"/>
      <c r="BSG34" s="47"/>
      <c r="BSH34" s="47"/>
      <c r="BSI34" s="47"/>
      <c r="BSJ34" s="47"/>
      <c r="BSK34" s="47"/>
      <c r="BSL34" s="47"/>
      <c r="BSM34" s="47"/>
      <c r="BSN34" s="47"/>
      <c r="BSO34" s="47"/>
      <c r="BSP34" s="47"/>
      <c r="BSQ34" s="47"/>
      <c r="BSR34" s="47"/>
      <c r="BSS34" s="47"/>
      <c r="BST34" s="47"/>
      <c r="BSU34" s="47"/>
      <c r="BSV34" s="47"/>
      <c r="BSW34" s="47"/>
      <c r="BSX34" s="47"/>
      <c r="BSY34" s="47"/>
      <c r="BSZ34" s="47"/>
      <c r="BTA34" s="47"/>
      <c r="BTB34" s="47"/>
      <c r="BTC34" s="47"/>
      <c r="BTD34" s="47"/>
      <c r="BTE34" s="47"/>
      <c r="BTF34" s="47"/>
      <c r="BTG34" s="47"/>
      <c r="BTH34" s="47"/>
      <c r="BTI34" s="47"/>
      <c r="BTJ34" s="47"/>
      <c r="BTK34" s="47"/>
      <c r="BTL34" s="47"/>
      <c r="BTM34" s="47"/>
      <c r="BTN34" s="47"/>
      <c r="BTO34" s="47"/>
      <c r="BTP34" s="47"/>
      <c r="BTQ34" s="47"/>
      <c r="BTR34" s="47"/>
      <c r="BTS34" s="47"/>
      <c r="BTT34" s="47"/>
      <c r="BTU34" s="47"/>
      <c r="BTV34" s="47"/>
      <c r="BTW34" s="47"/>
      <c r="BTX34" s="47"/>
      <c r="BTY34" s="47"/>
      <c r="BTZ34" s="47"/>
      <c r="BUA34" s="47"/>
      <c r="BUB34" s="47"/>
      <c r="BUC34" s="47"/>
      <c r="BUD34" s="47"/>
      <c r="BUE34" s="47"/>
      <c r="BUF34" s="47"/>
      <c r="BUG34" s="47"/>
      <c r="BUH34" s="47"/>
      <c r="BUI34" s="47"/>
      <c r="BUJ34" s="47"/>
      <c r="BUK34" s="47"/>
      <c r="BUL34" s="47"/>
      <c r="BUM34" s="47"/>
      <c r="BUN34" s="47"/>
      <c r="BUO34" s="47"/>
      <c r="BUP34" s="47"/>
      <c r="BUQ34" s="47"/>
      <c r="BUR34" s="47"/>
      <c r="BUS34" s="47"/>
      <c r="BUT34" s="47"/>
      <c r="BUU34" s="47"/>
      <c r="BUV34" s="47"/>
      <c r="BUW34" s="47"/>
      <c r="BUX34" s="47"/>
      <c r="BUY34" s="47"/>
      <c r="BUZ34" s="47"/>
      <c r="BVA34" s="47"/>
      <c r="BVB34" s="47"/>
      <c r="BVC34" s="47"/>
      <c r="BVD34" s="47"/>
      <c r="BVE34" s="47"/>
      <c r="BVF34" s="47"/>
      <c r="BVG34" s="47"/>
      <c r="BVH34" s="47"/>
      <c r="BVI34" s="47"/>
      <c r="BVJ34" s="47"/>
      <c r="BVK34" s="47"/>
      <c r="BVL34" s="47"/>
      <c r="BVM34" s="47"/>
      <c r="BVN34" s="47"/>
      <c r="BVO34" s="47"/>
      <c r="BVP34" s="47"/>
      <c r="BVQ34" s="47"/>
      <c r="BVR34" s="47"/>
      <c r="BVS34" s="47"/>
      <c r="BVT34" s="47"/>
      <c r="BVU34" s="47"/>
      <c r="BVV34" s="47"/>
      <c r="BVW34" s="47"/>
      <c r="BVX34" s="47"/>
      <c r="BVY34" s="47"/>
      <c r="BVZ34" s="47"/>
      <c r="BWA34" s="47"/>
      <c r="BWB34" s="47"/>
      <c r="BWC34" s="47"/>
      <c r="BWD34" s="47"/>
      <c r="BWE34" s="47"/>
      <c r="BWF34" s="47"/>
      <c r="BWG34" s="47"/>
      <c r="BWH34" s="47"/>
      <c r="BWI34" s="47"/>
      <c r="BWJ34" s="47"/>
      <c r="BWK34" s="47"/>
      <c r="BWL34" s="47"/>
      <c r="BWM34" s="47"/>
      <c r="BWN34" s="47"/>
      <c r="BWO34" s="47"/>
      <c r="BWP34" s="47"/>
      <c r="BWQ34" s="47"/>
      <c r="BWR34" s="47"/>
      <c r="BWS34" s="47"/>
      <c r="BWT34" s="47"/>
      <c r="BWU34" s="47"/>
      <c r="BWV34" s="47"/>
      <c r="BWW34" s="47"/>
      <c r="BWX34" s="47"/>
      <c r="BWY34" s="47"/>
      <c r="BWZ34" s="47"/>
      <c r="BXA34" s="47"/>
      <c r="BXB34" s="47"/>
      <c r="BXC34" s="47"/>
      <c r="BXD34" s="47"/>
      <c r="BXE34" s="47"/>
      <c r="BXF34" s="47"/>
      <c r="BXG34" s="47"/>
      <c r="BXH34" s="47"/>
      <c r="BXI34" s="47"/>
      <c r="BXJ34" s="47"/>
      <c r="BXK34" s="47"/>
      <c r="BXL34" s="47"/>
      <c r="BXM34" s="47"/>
      <c r="BXN34" s="47"/>
      <c r="BXO34" s="47"/>
      <c r="BXP34" s="47"/>
      <c r="BXQ34" s="47"/>
      <c r="BXR34" s="47"/>
      <c r="BXS34" s="47"/>
      <c r="BXT34" s="47"/>
      <c r="BXU34" s="47"/>
      <c r="BXV34" s="47"/>
      <c r="BXW34" s="47"/>
      <c r="BXX34" s="47"/>
      <c r="BXY34" s="47"/>
      <c r="BXZ34" s="47"/>
      <c r="BYA34" s="47"/>
      <c r="BYB34" s="47"/>
      <c r="BYC34" s="47"/>
      <c r="BYD34" s="47"/>
      <c r="BYE34" s="47"/>
      <c r="BYF34" s="47"/>
      <c r="BYG34" s="47"/>
      <c r="BYH34" s="47"/>
      <c r="BYI34" s="47"/>
      <c r="BYJ34" s="47"/>
      <c r="BYK34" s="47"/>
      <c r="BYL34" s="47"/>
      <c r="BYM34" s="47"/>
      <c r="BYN34" s="47"/>
      <c r="BYO34" s="47"/>
      <c r="BYP34" s="47"/>
      <c r="BYQ34" s="47"/>
      <c r="BYR34" s="47"/>
      <c r="BYS34" s="47"/>
      <c r="BYT34" s="47"/>
      <c r="BYU34" s="47"/>
      <c r="BYV34" s="47"/>
      <c r="BYW34" s="47"/>
      <c r="BYX34" s="47"/>
      <c r="BYY34" s="47"/>
      <c r="BYZ34" s="47"/>
      <c r="BZA34" s="47"/>
      <c r="BZB34" s="47"/>
      <c r="BZC34" s="47"/>
      <c r="BZD34" s="47"/>
      <c r="BZE34" s="47"/>
      <c r="BZF34" s="47"/>
      <c r="BZG34" s="47"/>
      <c r="BZH34" s="47"/>
      <c r="BZI34" s="47"/>
      <c r="BZJ34" s="47"/>
      <c r="BZK34" s="47"/>
      <c r="BZL34" s="47"/>
      <c r="BZM34" s="47"/>
      <c r="BZN34" s="47"/>
      <c r="BZO34" s="47"/>
      <c r="BZP34" s="47"/>
      <c r="BZQ34" s="47"/>
      <c r="BZR34" s="47"/>
      <c r="BZS34" s="47"/>
      <c r="BZT34" s="47"/>
      <c r="BZU34" s="47"/>
      <c r="BZV34" s="47"/>
      <c r="BZW34" s="47"/>
      <c r="BZX34" s="47"/>
      <c r="BZY34" s="47"/>
      <c r="BZZ34" s="47"/>
      <c r="CAA34" s="47"/>
      <c r="CAB34" s="47"/>
      <c r="CAC34" s="47"/>
      <c r="CAD34" s="47"/>
      <c r="CAE34" s="47"/>
      <c r="CAF34" s="47"/>
      <c r="CAG34" s="47"/>
      <c r="CAH34" s="47"/>
      <c r="CAI34" s="47"/>
      <c r="CAJ34" s="47"/>
      <c r="CAK34" s="47"/>
      <c r="CAL34" s="47"/>
      <c r="CAM34" s="47"/>
      <c r="CAN34" s="47"/>
      <c r="CAO34" s="47"/>
      <c r="CAP34" s="47"/>
      <c r="CAQ34" s="47"/>
      <c r="CAR34" s="47"/>
      <c r="CAS34" s="47"/>
      <c r="CAT34" s="47"/>
      <c r="CAU34" s="47"/>
      <c r="CAV34" s="47"/>
      <c r="CAW34" s="47"/>
      <c r="CAX34" s="47"/>
      <c r="CAY34" s="47"/>
      <c r="CAZ34" s="47"/>
      <c r="CBA34" s="47"/>
      <c r="CBB34" s="47"/>
      <c r="CBC34" s="47"/>
      <c r="CBD34" s="47"/>
      <c r="CBE34" s="47"/>
      <c r="CBF34" s="47"/>
      <c r="CBG34" s="47"/>
      <c r="CBH34" s="47"/>
      <c r="CBI34" s="47"/>
      <c r="CBJ34" s="47"/>
      <c r="CBK34" s="47"/>
      <c r="CBL34" s="47"/>
      <c r="CBM34" s="47"/>
      <c r="CBN34" s="47"/>
      <c r="CBO34" s="47"/>
      <c r="CBP34" s="47"/>
      <c r="CBQ34" s="47"/>
      <c r="CBR34" s="47"/>
      <c r="CBS34" s="47"/>
      <c r="CBT34" s="47"/>
      <c r="CBU34" s="47"/>
      <c r="CBV34" s="47"/>
      <c r="CBW34" s="47"/>
      <c r="CBX34" s="47"/>
      <c r="CBY34" s="47"/>
      <c r="CBZ34" s="47"/>
      <c r="CCA34" s="47"/>
      <c r="CCB34" s="47"/>
      <c r="CCC34" s="47"/>
      <c r="CCD34" s="47"/>
      <c r="CCE34" s="47"/>
      <c r="CCF34" s="47"/>
      <c r="CCG34" s="47"/>
      <c r="CCH34" s="47"/>
      <c r="CCI34" s="47"/>
      <c r="CCJ34" s="47"/>
      <c r="CCK34" s="47"/>
      <c r="CCL34" s="47"/>
      <c r="CCM34" s="47"/>
      <c r="CCN34" s="47"/>
      <c r="CCO34" s="47"/>
      <c r="CCP34" s="47"/>
      <c r="CCQ34" s="47"/>
      <c r="CCR34" s="47"/>
      <c r="CCS34" s="47"/>
      <c r="CCT34" s="47"/>
      <c r="CCU34" s="47"/>
      <c r="CCV34" s="47"/>
      <c r="CCW34" s="47"/>
      <c r="CCX34" s="47"/>
      <c r="CCY34" s="47"/>
      <c r="CCZ34" s="47"/>
      <c r="CDA34" s="47"/>
      <c r="CDB34" s="47"/>
      <c r="CDC34" s="47"/>
      <c r="CDD34" s="47"/>
      <c r="CDE34" s="47"/>
      <c r="CDF34" s="47"/>
      <c r="CDG34" s="47"/>
      <c r="CDH34" s="47"/>
      <c r="CDI34" s="47"/>
      <c r="CDJ34" s="47"/>
      <c r="CDK34" s="47"/>
      <c r="CDL34" s="47"/>
      <c r="CDM34" s="47"/>
      <c r="CDN34" s="47"/>
      <c r="CDO34" s="47"/>
      <c r="CDP34" s="47"/>
      <c r="CDQ34" s="47"/>
      <c r="CDR34" s="47"/>
      <c r="CDS34" s="47"/>
      <c r="CDT34" s="47"/>
      <c r="CDU34" s="47"/>
      <c r="CDV34" s="47"/>
      <c r="CDW34" s="47"/>
      <c r="CDX34" s="47"/>
      <c r="CDY34" s="47"/>
      <c r="CDZ34" s="47"/>
      <c r="CEA34" s="47"/>
      <c r="CEB34" s="47"/>
      <c r="CEC34" s="47"/>
      <c r="CED34" s="47"/>
      <c r="CEE34" s="47"/>
      <c r="CEF34" s="47"/>
      <c r="CEG34" s="47"/>
      <c r="CEH34" s="47"/>
      <c r="CEI34" s="47"/>
      <c r="CEJ34" s="47"/>
      <c r="CEK34" s="47"/>
      <c r="CEL34" s="47"/>
      <c r="CEM34" s="47"/>
      <c r="CEN34" s="47"/>
      <c r="CEO34" s="47"/>
      <c r="CEP34" s="47"/>
      <c r="CEQ34" s="47"/>
      <c r="CER34" s="47"/>
      <c r="CES34" s="47"/>
      <c r="CET34" s="47"/>
      <c r="CEU34" s="47"/>
      <c r="CEV34" s="47"/>
      <c r="CEW34" s="47"/>
      <c r="CEX34" s="47"/>
      <c r="CEY34" s="47"/>
      <c r="CEZ34" s="47"/>
      <c r="CFA34" s="47"/>
      <c r="CFB34" s="47"/>
      <c r="CFC34" s="47"/>
      <c r="CFD34" s="47"/>
      <c r="CFE34" s="47"/>
      <c r="CFF34" s="47"/>
      <c r="CFG34" s="47"/>
      <c r="CFH34" s="47"/>
      <c r="CFI34" s="47"/>
      <c r="CFJ34" s="47"/>
      <c r="CFK34" s="47"/>
      <c r="CFL34" s="47"/>
      <c r="CFM34" s="47"/>
      <c r="CFN34" s="47"/>
      <c r="CFO34" s="47"/>
      <c r="CFP34" s="47"/>
      <c r="CFQ34" s="47"/>
      <c r="CFR34" s="47"/>
      <c r="CFS34" s="47"/>
      <c r="CFT34" s="47"/>
      <c r="CFU34" s="47"/>
      <c r="CFV34" s="47"/>
      <c r="CFW34" s="47"/>
      <c r="CFX34" s="47"/>
      <c r="CFY34" s="47"/>
      <c r="CFZ34" s="47"/>
      <c r="CGA34" s="47"/>
      <c r="CGB34" s="47"/>
      <c r="CGC34" s="47"/>
      <c r="CGD34" s="47"/>
      <c r="CGE34" s="47"/>
      <c r="CGF34" s="47"/>
      <c r="CGG34" s="47"/>
      <c r="CGH34" s="47"/>
      <c r="CGI34" s="47"/>
      <c r="CGJ34" s="47"/>
      <c r="CGK34" s="47"/>
      <c r="CGL34" s="47"/>
      <c r="CGM34" s="47"/>
      <c r="CGN34" s="47"/>
      <c r="CGO34" s="47"/>
      <c r="CGP34" s="47"/>
      <c r="CGQ34" s="47"/>
      <c r="CGR34" s="47"/>
      <c r="CGS34" s="47"/>
      <c r="CGT34" s="47"/>
      <c r="CGU34" s="47"/>
      <c r="CGV34" s="47"/>
      <c r="CGW34" s="47"/>
      <c r="CGX34" s="47"/>
      <c r="CGY34" s="47"/>
      <c r="CGZ34" s="47"/>
      <c r="CHA34" s="47"/>
      <c r="CHB34" s="47"/>
      <c r="CHC34" s="47"/>
      <c r="CHD34" s="47"/>
      <c r="CHE34" s="47"/>
      <c r="CHF34" s="47"/>
      <c r="CHG34" s="47"/>
      <c r="CHH34" s="47"/>
      <c r="CHI34" s="47"/>
      <c r="CHJ34" s="47"/>
      <c r="CHK34" s="47"/>
      <c r="CHL34" s="47"/>
      <c r="CHM34" s="47"/>
      <c r="CHN34" s="47"/>
      <c r="CHO34" s="47"/>
      <c r="CHP34" s="47"/>
      <c r="CHQ34" s="47"/>
      <c r="CHR34" s="47"/>
      <c r="CHS34" s="47"/>
      <c r="CHT34" s="47"/>
      <c r="CHU34" s="47"/>
      <c r="CHV34" s="47"/>
      <c r="CHW34" s="47"/>
      <c r="CHX34" s="47"/>
      <c r="CHY34" s="47"/>
      <c r="CHZ34" s="47"/>
      <c r="CIA34" s="47"/>
      <c r="CIB34" s="47"/>
      <c r="CIC34" s="47"/>
      <c r="CID34" s="47"/>
      <c r="CIE34" s="47"/>
      <c r="CIF34" s="47"/>
      <c r="CIG34" s="47"/>
      <c r="CIH34" s="47"/>
      <c r="CII34" s="47"/>
      <c r="CIJ34" s="47"/>
      <c r="CIK34" s="47"/>
      <c r="CIL34" s="47"/>
      <c r="CIM34" s="47"/>
      <c r="CIN34" s="47"/>
      <c r="CIO34" s="47"/>
      <c r="CIP34" s="47"/>
      <c r="CIQ34" s="47"/>
      <c r="CIR34" s="47"/>
      <c r="CIS34" s="47"/>
      <c r="CIT34" s="47"/>
      <c r="CIU34" s="47"/>
      <c r="CIV34" s="47"/>
      <c r="CIW34" s="47"/>
      <c r="CIX34" s="47"/>
      <c r="CIY34" s="47"/>
      <c r="CIZ34" s="47"/>
      <c r="CJA34" s="47"/>
      <c r="CJB34" s="47"/>
      <c r="CJC34" s="47"/>
      <c r="CJD34" s="47"/>
      <c r="CJE34" s="47"/>
      <c r="CJF34" s="47"/>
      <c r="CJG34" s="47"/>
      <c r="CJH34" s="47"/>
      <c r="CJI34" s="47"/>
      <c r="CJJ34" s="47"/>
      <c r="CJK34" s="47"/>
      <c r="CJL34" s="47"/>
      <c r="CJM34" s="47"/>
      <c r="CJN34" s="47"/>
      <c r="CJO34" s="47"/>
      <c r="CJP34" s="47"/>
      <c r="CJQ34" s="47"/>
      <c r="CJR34" s="47"/>
      <c r="CJS34" s="47"/>
      <c r="CJT34" s="47"/>
      <c r="CJU34" s="47"/>
      <c r="CJV34" s="47"/>
      <c r="CJW34" s="47"/>
      <c r="CJX34" s="47"/>
      <c r="CJY34" s="47"/>
      <c r="CJZ34" s="47"/>
      <c r="CKA34" s="47"/>
      <c r="CKB34" s="47"/>
      <c r="CKC34" s="47"/>
      <c r="CKD34" s="47"/>
      <c r="CKE34" s="47"/>
      <c r="CKF34" s="47"/>
      <c r="CKG34" s="47"/>
      <c r="CKH34" s="47"/>
      <c r="CKI34" s="47"/>
      <c r="CKJ34" s="47"/>
      <c r="CKK34" s="47"/>
      <c r="CKL34" s="47"/>
      <c r="CKM34" s="47"/>
      <c r="CKN34" s="47"/>
      <c r="CKO34" s="47"/>
      <c r="CKP34" s="47"/>
      <c r="CKQ34" s="47"/>
      <c r="CKR34" s="47"/>
      <c r="CKS34" s="47"/>
      <c r="CKT34" s="47"/>
      <c r="CKU34" s="47"/>
      <c r="CKV34" s="47"/>
      <c r="CKW34" s="47"/>
      <c r="CKX34" s="47"/>
      <c r="CKY34" s="47"/>
      <c r="CKZ34" s="47"/>
      <c r="CLA34" s="47"/>
      <c r="CLB34" s="47"/>
      <c r="CLC34" s="47"/>
      <c r="CLD34" s="47"/>
      <c r="CLE34" s="47"/>
      <c r="CLF34" s="47"/>
      <c r="CLG34" s="47"/>
      <c r="CLH34" s="47"/>
      <c r="CLI34" s="47"/>
      <c r="CLJ34" s="47"/>
      <c r="CLK34" s="47"/>
      <c r="CLL34" s="47"/>
      <c r="CLM34" s="47"/>
      <c r="CLN34" s="47"/>
      <c r="CLO34" s="47"/>
      <c r="CLP34" s="47"/>
      <c r="CLQ34" s="47"/>
      <c r="CLR34" s="47"/>
      <c r="CLS34" s="47"/>
      <c r="CLT34" s="47"/>
      <c r="CLU34" s="47"/>
      <c r="CLV34" s="47"/>
      <c r="CLW34" s="47"/>
      <c r="CLX34" s="47"/>
      <c r="CLY34" s="47"/>
      <c r="CLZ34" s="47"/>
      <c r="CMA34" s="47"/>
      <c r="CMB34" s="47"/>
      <c r="CMC34" s="47"/>
      <c r="CMD34" s="47"/>
      <c r="CME34" s="47"/>
      <c r="CMF34" s="47"/>
      <c r="CMG34" s="47"/>
      <c r="CMH34" s="47"/>
      <c r="CMI34" s="47"/>
      <c r="CMJ34" s="47"/>
      <c r="CMK34" s="47"/>
      <c r="CML34" s="47"/>
      <c r="CMM34" s="47"/>
      <c r="CMN34" s="47"/>
      <c r="CMO34" s="47"/>
      <c r="CMP34" s="47"/>
      <c r="CMQ34" s="47"/>
      <c r="CMR34" s="47"/>
      <c r="CMS34" s="47"/>
      <c r="CMT34" s="47"/>
      <c r="CMU34" s="47"/>
      <c r="CMV34" s="47"/>
      <c r="CMW34" s="47"/>
      <c r="CMX34" s="47"/>
      <c r="CMY34" s="47"/>
      <c r="CMZ34" s="47"/>
      <c r="CNA34" s="47"/>
      <c r="CNB34" s="47"/>
      <c r="CNC34" s="47"/>
      <c r="CND34" s="47"/>
      <c r="CNE34" s="47"/>
      <c r="CNF34" s="47"/>
      <c r="CNG34" s="47"/>
      <c r="CNH34" s="47"/>
      <c r="CNI34" s="47"/>
      <c r="CNJ34" s="47"/>
      <c r="CNK34" s="47"/>
      <c r="CNL34" s="47"/>
      <c r="CNM34" s="47"/>
      <c r="CNN34" s="47"/>
      <c r="CNO34" s="47"/>
      <c r="CNP34" s="47"/>
      <c r="CNQ34" s="47"/>
      <c r="CNR34" s="47"/>
      <c r="CNS34" s="47"/>
      <c r="CNT34" s="47"/>
      <c r="CNU34" s="47"/>
      <c r="CNV34" s="47"/>
      <c r="CNW34" s="47"/>
      <c r="CNX34" s="47"/>
      <c r="CNY34" s="47"/>
      <c r="CNZ34" s="47"/>
      <c r="COA34" s="47"/>
      <c r="COB34" s="47"/>
      <c r="COC34" s="47"/>
      <c r="COD34" s="47"/>
      <c r="COE34" s="47"/>
      <c r="COF34" s="47"/>
      <c r="COG34" s="47"/>
      <c r="COH34" s="47"/>
      <c r="COI34" s="47"/>
      <c r="COJ34" s="47"/>
      <c r="COK34" s="47"/>
      <c r="COL34" s="47"/>
      <c r="COM34" s="47"/>
      <c r="CON34" s="47"/>
      <c r="COO34" s="47"/>
      <c r="COP34" s="47"/>
      <c r="COQ34" s="47"/>
      <c r="COR34" s="47"/>
      <c r="COS34" s="47"/>
      <c r="COT34" s="47"/>
      <c r="COU34" s="47"/>
      <c r="COV34" s="47"/>
      <c r="COW34" s="47"/>
      <c r="COX34" s="47"/>
      <c r="COY34" s="47"/>
      <c r="COZ34" s="47"/>
      <c r="CPA34" s="47"/>
      <c r="CPB34" s="47"/>
      <c r="CPC34" s="47"/>
      <c r="CPD34" s="47"/>
      <c r="CPE34" s="47"/>
      <c r="CPF34" s="47"/>
      <c r="CPG34" s="47"/>
      <c r="CPH34" s="47"/>
      <c r="CPI34" s="47"/>
      <c r="CPJ34" s="47"/>
      <c r="CPK34" s="47"/>
      <c r="CPL34" s="47"/>
      <c r="CPM34" s="47"/>
      <c r="CPN34" s="47"/>
      <c r="CPO34" s="47"/>
      <c r="CPP34" s="47"/>
      <c r="CPQ34" s="47"/>
      <c r="CPR34" s="47"/>
      <c r="CPS34" s="47"/>
      <c r="CPT34" s="47"/>
      <c r="CPU34" s="47"/>
      <c r="CPV34" s="47"/>
      <c r="CPW34" s="47"/>
      <c r="CPX34" s="47"/>
      <c r="CPY34" s="47"/>
      <c r="CPZ34" s="47"/>
      <c r="CQA34" s="47"/>
      <c r="CQB34" s="47"/>
      <c r="CQC34" s="47"/>
      <c r="CQD34" s="47"/>
      <c r="CQE34" s="47"/>
      <c r="CQF34" s="47"/>
      <c r="CQG34" s="47"/>
      <c r="CQH34" s="47"/>
      <c r="CQI34" s="47"/>
      <c r="CQJ34" s="47"/>
      <c r="CQK34" s="47"/>
      <c r="CQL34" s="47"/>
      <c r="CQM34" s="47"/>
      <c r="CQN34" s="47"/>
      <c r="CQO34" s="47"/>
      <c r="CQP34" s="47"/>
      <c r="CQQ34" s="47"/>
      <c r="CQR34" s="47"/>
      <c r="CQS34" s="47"/>
      <c r="CQT34" s="47"/>
      <c r="CQU34" s="47"/>
      <c r="CQV34" s="47"/>
      <c r="CQW34" s="47"/>
      <c r="CQX34" s="47"/>
      <c r="CQY34" s="47"/>
      <c r="CQZ34" s="47"/>
      <c r="CRA34" s="47"/>
      <c r="CRB34" s="47"/>
      <c r="CRC34" s="47"/>
      <c r="CRD34" s="47"/>
      <c r="CRE34" s="47"/>
      <c r="CRF34" s="47"/>
      <c r="CRG34" s="47"/>
      <c r="CRH34" s="47"/>
      <c r="CRI34" s="47"/>
      <c r="CRJ34" s="47"/>
      <c r="CRK34" s="47"/>
      <c r="CRL34" s="47"/>
      <c r="CRM34" s="47"/>
      <c r="CRN34" s="47"/>
      <c r="CRO34" s="47"/>
      <c r="CRP34" s="47"/>
      <c r="CRQ34" s="47"/>
      <c r="CRR34" s="47"/>
      <c r="CRS34" s="47"/>
      <c r="CRT34" s="47"/>
      <c r="CRU34" s="47"/>
      <c r="CRV34" s="47"/>
      <c r="CRW34" s="47"/>
      <c r="CRX34" s="47"/>
      <c r="CRY34" s="47"/>
      <c r="CRZ34" s="47"/>
      <c r="CSA34" s="47"/>
      <c r="CSB34" s="47"/>
      <c r="CSC34" s="47"/>
      <c r="CSD34" s="47"/>
      <c r="CSE34" s="47"/>
      <c r="CSF34" s="47"/>
      <c r="CSG34" s="47"/>
      <c r="CSH34" s="47"/>
      <c r="CSI34" s="47"/>
      <c r="CSJ34" s="47"/>
      <c r="CSK34" s="47"/>
      <c r="CSL34" s="47"/>
      <c r="CSM34" s="47"/>
      <c r="CSN34" s="47"/>
      <c r="CSO34" s="47"/>
      <c r="CSP34" s="47"/>
      <c r="CSQ34" s="47"/>
      <c r="CSR34" s="47"/>
      <c r="CSS34" s="47"/>
      <c r="CST34" s="47"/>
      <c r="CSU34" s="47"/>
      <c r="CSV34" s="47"/>
      <c r="CSW34" s="47"/>
      <c r="CSX34" s="47"/>
      <c r="CSY34" s="47"/>
      <c r="CSZ34" s="47"/>
      <c r="CTA34" s="47"/>
      <c r="CTB34" s="47"/>
      <c r="CTC34" s="47"/>
      <c r="CTD34" s="47"/>
      <c r="CTE34" s="47"/>
      <c r="CTF34" s="47"/>
      <c r="CTG34" s="47"/>
      <c r="CTH34" s="47"/>
      <c r="CTI34" s="47"/>
      <c r="CTJ34" s="47"/>
      <c r="CTK34" s="47"/>
      <c r="CTL34" s="47"/>
      <c r="CTM34" s="47"/>
      <c r="CTN34" s="47"/>
      <c r="CTO34" s="47"/>
      <c r="CTP34" s="47"/>
      <c r="CTQ34" s="47"/>
      <c r="CTR34" s="47"/>
      <c r="CTS34" s="47"/>
      <c r="CTT34" s="47"/>
      <c r="CTU34" s="47"/>
      <c r="CTV34" s="47"/>
      <c r="CTW34" s="47"/>
      <c r="CTX34" s="47"/>
      <c r="CTY34" s="47"/>
      <c r="CTZ34" s="47"/>
      <c r="CUA34" s="47"/>
      <c r="CUB34" s="47"/>
      <c r="CUC34" s="47"/>
      <c r="CUD34" s="47"/>
      <c r="CUE34" s="47"/>
      <c r="CUF34" s="47"/>
      <c r="CUG34" s="47"/>
      <c r="CUH34" s="47"/>
      <c r="CUI34" s="47"/>
      <c r="CUJ34" s="47"/>
      <c r="CUK34" s="47"/>
      <c r="CUL34" s="47"/>
      <c r="CUM34" s="47"/>
      <c r="CUN34" s="47"/>
      <c r="CUO34" s="47"/>
      <c r="CUP34" s="47"/>
      <c r="CUQ34" s="47"/>
      <c r="CUR34" s="47"/>
      <c r="CUS34" s="47"/>
      <c r="CUT34" s="47"/>
      <c r="CUU34" s="47"/>
      <c r="CUV34" s="47"/>
      <c r="CUW34" s="47"/>
      <c r="CUX34" s="47"/>
      <c r="CUY34" s="47"/>
      <c r="CUZ34" s="47"/>
      <c r="CVA34" s="47"/>
      <c r="CVB34" s="47"/>
      <c r="CVC34" s="47"/>
      <c r="CVD34" s="47"/>
      <c r="CVE34" s="47"/>
      <c r="CVF34" s="47"/>
      <c r="CVG34" s="47"/>
      <c r="CVH34" s="47"/>
      <c r="CVI34" s="47"/>
      <c r="CVJ34" s="47"/>
      <c r="CVK34" s="47"/>
      <c r="CVL34" s="47"/>
      <c r="CVM34" s="47"/>
      <c r="CVN34" s="47"/>
      <c r="CVO34" s="47"/>
      <c r="CVP34" s="47"/>
      <c r="CVQ34" s="47"/>
      <c r="CVR34" s="47"/>
      <c r="CVS34" s="47"/>
      <c r="CVT34" s="47"/>
      <c r="CVU34" s="47"/>
      <c r="CVV34" s="47"/>
      <c r="CVW34" s="47"/>
      <c r="CVX34" s="47"/>
      <c r="CVY34" s="47"/>
      <c r="CVZ34" s="47"/>
      <c r="CWA34" s="47"/>
      <c r="CWB34" s="47"/>
      <c r="CWC34" s="47"/>
      <c r="CWD34" s="47"/>
      <c r="CWE34" s="47"/>
      <c r="CWF34" s="47"/>
      <c r="CWG34" s="47"/>
      <c r="CWH34" s="47"/>
      <c r="CWI34" s="47"/>
      <c r="CWJ34" s="47"/>
      <c r="CWK34" s="47"/>
      <c r="CWL34" s="47"/>
      <c r="CWM34" s="47"/>
      <c r="CWN34" s="47"/>
      <c r="CWO34" s="47"/>
      <c r="CWP34" s="47"/>
      <c r="CWQ34" s="47"/>
      <c r="CWR34" s="47"/>
      <c r="CWS34" s="47"/>
      <c r="CWT34" s="47"/>
      <c r="CWU34" s="47"/>
      <c r="CWV34" s="47"/>
      <c r="CWW34" s="47"/>
      <c r="CWX34" s="47"/>
      <c r="CWY34" s="47"/>
      <c r="CWZ34" s="47"/>
      <c r="CXA34" s="47"/>
      <c r="CXB34" s="47"/>
      <c r="CXC34" s="47"/>
      <c r="CXD34" s="47"/>
      <c r="CXE34" s="47"/>
      <c r="CXF34" s="47"/>
      <c r="CXG34" s="47"/>
      <c r="CXH34" s="47"/>
      <c r="CXI34" s="47"/>
      <c r="CXJ34" s="47"/>
      <c r="CXK34" s="47"/>
      <c r="CXL34" s="47"/>
      <c r="CXM34" s="47"/>
      <c r="CXN34" s="47"/>
      <c r="CXO34" s="47"/>
      <c r="CXP34" s="47"/>
      <c r="CXQ34" s="47"/>
      <c r="CXR34" s="47"/>
      <c r="CXS34" s="47"/>
      <c r="CXT34" s="47"/>
      <c r="CXU34" s="47"/>
      <c r="CXV34" s="47"/>
      <c r="CXW34" s="47"/>
      <c r="CXX34" s="47"/>
      <c r="CXY34" s="47"/>
      <c r="CXZ34" s="47"/>
      <c r="CYA34" s="47"/>
      <c r="CYB34" s="47"/>
      <c r="CYC34" s="47"/>
      <c r="CYD34" s="47"/>
      <c r="CYE34" s="47"/>
      <c r="CYF34" s="47"/>
      <c r="CYG34" s="47"/>
      <c r="CYH34" s="47"/>
      <c r="CYI34" s="47"/>
      <c r="CYJ34" s="47"/>
      <c r="CYK34" s="47"/>
      <c r="CYL34" s="47"/>
      <c r="CYM34" s="47"/>
      <c r="CYN34" s="47"/>
      <c r="CYO34" s="47"/>
      <c r="CYP34" s="47"/>
      <c r="CYQ34" s="47"/>
      <c r="CYR34" s="47"/>
      <c r="CYS34" s="47"/>
      <c r="CYT34" s="47"/>
      <c r="CYU34" s="47"/>
      <c r="CYV34" s="47"/>
      <c r="CYW34" s="47"/>
      <c r="CYX34" s="47"/>
      <c r="CYY34" s="47"/>
      <c r="CYZ34" s="47"/>
      <c r="CZA34" s="47"/>
      <c r="CZB34" s="47"/>
      <c r="CZC34" s="47"/>
      <c r="CZD34" s="47"/>
      <c r="CZE34" s="47"/>
      <c r="CZF34" s="47"/>
      <c r="CZG34" s="47"/>
      <c r="CZH34" s="47"/>
      <c r="CZI34" s="47"/>
      <c r="CZJ34" s="47"/>
      <c r="CZK34" s="47"/>
      <c r="CZL34" s="47"/>
      <c r="CZM34" s="47"/>
      <c r="CZN34" s="47"/>
      <c r="CZO34" s="47"/>
      <c r="CZP34" s="47"/>
      <c r="CZQ34" s="47"/>
      <c r="CZR34" s="47"/>
      <c r="CZS34" s="47"/>
      <c r="CZT34" s="47"/>
      <c r="CZU34" s="47"/>
      <c r="CZV34" s="47"/>
      <c r="CZW34" s="47"/>
      <c r="CZX34" s="47"/>
      <c r="CZY34" s="47"/>
      <c r="CZZ34" s="47"/>
      <c r="DAA34" s="47"/>
      <c r="DAB34" s="47"/>
      <c r="DAC34" s="47"/>
      <c r="DAD34" s="47"/>
      <c r="DAE34" s="47"/>
      <c r="DAF34" s="47"/>
      <c r="DAG34" s="47"/>
      <c r="DAH34" s="47"/>
      <c r="DAI34" s="47"/>
      <c r="DAJ34" s="47"/>
      <c r="DAK34" s="47"/>
      <c r="DAL34" s="47"/>
      <c r="DAM34" s="47"/>
      <c r="DAN34" s="47"/>
      <c r="DAO34" s="47"/>
      <c r="DAP34" s="47"/>
      <c r="DAQ34" s="47"/>
      <c r="DAR34" s="47"/>
      <c r="DAS34" s="47"/>
      <c r="DAT34" s="47"/>
      <c r="DAU34" s="47"/>
      <c r="DAV34" s="47"/>
      <c r="DAW34" s="47"/>
      <c r="DAX34" s="47"/>
      <c r="DAY34" s="47"/>
      <c r="DAZ34" s="47"/>
      <c r="DBA34" s="47"/>
      <c r="DBB34" s="47"/>
      <c r="DBC34" s="47"/>
      <c r="DBD34" s="47"/>
      <c r="DBE34" s="47"/>
      <c r="DBF34" s="47"/>
      <c r="DBG34" s="47"/>
      <c r="DBH34" s="47"/>
      <c r="DBI34" s="47"/>
      <c r="DBJ34" s="47"/>
      <c r="DBK34" s="47"/>
      <c r="DBL34" s="47"/>
      <c r="DBM34" s="47"/>
      <c r="DBN34" s="47"/>
      <c r="DBO34" s="47"/>
      <c r="DBP34" s="47"/>
      <c r="DBQ34" s="47"/>
      <c r="DBR34" s="47"/>
      <c r="DBS34" s="47"/>
      <c r="DBT34" s="47"/>
      <c r="DBU34" s="47"/>
      <c r="DBV34" s="47"/>
      <c r="DBW34" s="47"/>
      <c r="DBX34" s="47"/>
      <c r="DBY34" s="47"/>
      <c r="DBZ34" s="47"/>
      <c r="DCA34" s="47"/>
      <c r="DCB34" s="47"/>
      <c r="DCC34" s="47"/>
      <c r="DCD34" s="47"/>
      <c r="DCE34" s="47"/>
      <c r="DCF34" s="47"/>
      <c r="DCG34" s="47"/>
      <c r="DCH34" s="47"/>
      <c r="DCI34" s="47"/>
      <c r="DCJ34" s="47"/>
      <c r="DCK34" s="47"/>
      <c r="DCL34" s="47"/>
      <c r="DCM34" s="47"/>
      <c r="DCN34" s="47"/>
      <c r="DCO34" s="47"/>
      <c r="DCP34" s="47"/>
      <c r="DCQ34" s="47"/>
      <c r="DCR34" s="47"/>
      <c r="DCS34" s="47"/>
      <c r="DCT34" s="47"/>
      <c r="DCU34" s="47"/>
      <c r="DCV34" s="47"/>
      <c r="DCW34" s="47"/>
      <c r="DCX34" s="47"/>
      <c r="DCY34" s="47"/>
      <c r="DCZ34" s="47"/>
      <c r="DDA34" s="47"/>
      <c r="DDB34" s="47"/>
      <c r="DDC34" s="47"/>
      <c r="DDD34" s="47"/>
      <c r="DDE34" s="47"/>
      <c r="DDF34" s="47"/>
      <c r="DDG34" s="47"/>
      <c r="DDH34" s="47"/>
      <c r="DDI34" s="47"/>
      <c r="DDJ34" s="47"/>
      <c r="DDK34" s="47"/>
      <c r="DDL34" s="47"/>
      <c r="DDM34" s="47"/>
      <c r="DDN34" s="47"/>
      <c r="DDO34" s="47"/>
      <c r="DDP34" s="47"/>
      <c r="DDQ34" s="47"/>
      <c r="DDR34" s="47"/>
      <c r="DDS34" s="47"/>
      <c r="DDT34" s="47"/>
      <c r="DDU34" s="47"/>
      <c r="DDV34" s="47"/>
      <c r="DDW34" s="47"/>
      <c r="DDX34" s="47"/>
      <c r="DDY34" s="47"/>
      <c r="DDZ34" s="47"/>
      <c r="DEA34" s="47"/>
      <c r="DEB34" s="47"/>
      <c r="DEC34" s="47"/>
      <c r="DED34" s="47"/>
      <c r="DEE34" s="47"/>
      <c r="DEF34" s="47"/>
      <c r="DEG34" s="47"/>
      <c r="DEH34" s="47"/>
      <c r="DEI34" s="47"/>
      <c r="DEJ34" s="47"/>
      <c r="DEK34" s="47"/>
      <c r="DEL34" s="47"/>
      <c r="DEM34" s="47"/>
      <c r="DEN34" s="47"/>
      <c r="DEO34" s="47"/>
      <c r="DEP34" s="47"/>
      <c r="DEQ34" s="47"/>
      <c r="DER34" s="47"/>
      <c r="DES34" s="47"/>
      <c r="DET34" s="47"/>
      <c r="DEU34" s="47"/>
      <c r="DEV34" s="47"/>
      <c r="DEW34" s="47"/>
      <c r="DEX34" s="47"/>
      <c r="DEY34" s="47"/>
      <c r="DEZ34" s="47"/>
      <c r="DFA34" s="47"/>
      <c r="DFB34" s="47"/>
      <c r="DFC34" s="47"/>
      <c r="DFD34" s="47"/>
      <c r="DFE34" s="47"/>
      <c r="DFF34" s="47"/>
      <c r="DFG34" s="47"/>
      <c r="DFH34" s="47"/>
      <c r="DFI34" s="47"/>
      <c r="DFJ34" s="47"/>
      <c r="DFK34" s="47"/>
      <c r="DFL34" s="47"/>
      <c r="DFM34" s="47"/>
      <c r="DFN34" s="47"/>
      <c r="DFO34" s="47"/>
      <c r="DFP34" s="47"/>
      <c r="DFQ34" s="47"/>
      <c r="DFR34" s="47"/>
      <c r="DFS34" s="47"/>
      <c r="DFT34" s="47"/>
      <c r="DFU34" s="47"/>
      <c r="DFV34" s="47"/>
      <c r="DFW34" s="47"/>
      <c r="DFX34" s="47"/>
      <c r="DFY34" s="47"/>
      <c r="DFZ34" s="47"/>
      <c r="DGA34" s="47"/>
      <c r="DGB34" s="47"/>
      <c r="DGC34" s="47"/>
      <c r="DGD34" s="47"/>
      <c r="DGE34" s="47"/>
      <c r="DGF34" s="47"/>
      <c r="DGG34" s="47"/>
      <c r="DGH34" s="47"/>
      <c r="DGI34" s="47"/>
      <c r="DGJ34" s="47"/>
      <c r="DGK34" s="47"/>
      <c r="DGL34" s="47"/>
      <c r="DGM34" s="47"/>
      <c r="DGN34" s="47"/>
      <c r="DGO34" s="47"/>
      <c r="DGP34" s="47"/>
      <c r="DGQ34" s="47"/>
      <c r="DGR34" s="47"/>
      <c r="DGS34" s="47"/>
      <c r="DGT34" s="47"/>
      <c r="DGU34" s="47"/>
      <c r="DGV34" s="47"/>
      <c r="DGW34" s="47"/>
      <c r="DGX34" s="47"/>
      <c r="DGY34" s="47"/>
      <c r="DGZ34" s="47"/>
      <c r="DHA34" s="47"/>
      <c r="DHB34" s="47"/>
      <c r="DHC34" s="47"/>
      <c r="DHD34" s="47"/>
      <c r="DHE34" s="47"/>
      <c r="DHF34" s="47"/>
      <c r="DHG34" s="47"/>
      <c r="DHH34" s="47"/>
      <c r="DHI34" s="47"/>
      <c r="DHJ34" s="47"/>
      <c r="DHK34" s="47"/>
      <c r="DHL34" s="47"/>
      <c r="DHM34" s="47"/>
      <c r="DHN34" s="47"/>
      <c r="DHO34" s="47"/>
      <c r="DHP34" s="47"/>
      <c r="DHQ34" s="47"/>
      <c r="DHR34" s="47"/>
      <c r="DHS34" s="47"/>
      <c r="DHT34" s="47"/>
      <c r="DHU34" s="47"/>
      <c r="DHV34" s="47"/>
      <c r="DHW34" s="47"/>
      <c r="DHX34" s="47"/>
      <c r="DHY34" s="47"/>
      <c r="DHZ34" s="47"/>
      <c r="DIA34" s="47"/>
      <c r="DIB34" s="47"/>
      <c r="DIC34" s="47"/>
      <c r="DID34" s="47"/>
      <c r="DIE34" s="47"/>
      <c r="DIF34" s="47"/>
      <c r="DIG34" s="47"/>
      <c r="DIH34" s="47"/>
      <c r="DII34" s="47"/>
      <c r="DIJ34" s="47"/>
      <c r="DIK34" s="47"/>
      <c r="DIL34" s="47"/>
      <c r="DIM34" s="47"/>
      <c r="DIN34" s="47"/>
      <c r="DIO34" s="47"/>
      <c r="DIP34" s="47"/>
      <c r="DIQ34" s="47"/>
      <c r="DIR34" s="47"/>
      <c r="DIS34" s="47"/>
      <c r="DIT34" s="47"/>
      <c r="DIU34" s="47"/>
      <c r="DIV34" s="47"/>
      <c r="DIW34" s="47"/>
      <c r="DIX34" s="47"/>
      <c r="DIY34" s="47"/>
      <c r="DIZ34" s="47"/>
      <c r="DJA34" s="47"/>
      <c r="DJB34" s="47"/>
      <c r="DJC34" s="47"/>
      <c r="DJD34" s="47"/>
      <c r="DJE34" s="47"/>
      <c r="DJF34" s="47"/>
      <c r="DJG34" s="47"/>
      <c r="DJH34" s="47"/>
      <c r="DJI34" s="47"/>
      <c r="DJJ34" s="47"/>
      <c r="DJK34" s="47"/>
      <c r="DJL34" s="47"/>
      <c r="DJM34" s="47"/>
      <c r="DJN34" s="47"/>
      <c r="DJO34" s="47"/>
      <c r="DJP34" s="47"/>
      <c r="DJQ34" s="47"/>
      <c r="DJR34" s="47"/>
      <c r="DJS34" s="47"/>
      <c r="DJT34" s="47"/>
      <c r="DJU34" s="47"/>
      <c r="DJV34" s="47"/>
      <c r="DJW34" s="47"/>
      <c r="DJX34" s="47"/>
      <c r="DJY34" s="47"/>
      <c r="DJZ34" s="47"/>
      <c r="DKA34" s="47"/>
      <c r="DKB34" s="47"/>
      <c r="DKC34" s="47"/>
      <c r="DKD34" s="47"/>
      <c r="DKE34" s="47"/>
      <c r="DKF34" s="47"/>
      <c r="DKG34" s="47"/>
      <c r="DKH34" s="47"/>
      <c r="DKI34" s="47"/>
      <c r="DKJ34" s="47"/>
      <c r="DKK34" s="47"/>
      <c r="DKL34" s="47"/>
      <c r="DKM34" s="47"/>
      <c r="DKN34" s="47"/>
      <c r="DKO34" s="47"/>
      <c r="DKP34" s="47"/>
      <c r="DKQ34" s="47"/>
      <c r="DKR34" s="47"/>
      <c r="DKS34" s="47"/>
      <c r="DKT34" s="47"/>
      <c r="DKU34" s="47"/>
      <c r="DKV34" s="47"/>
      <c r="DKW34" s="47"/>
      <c r="DKX34" s="47"/>
      <c r="DKY34" s="47"/>
      <c r="DKZ34" s="47"/>
      <c r="DLA34" s="47"/>
      <c r="DLB34" s="47"/>
      <c r="DLC34" s="47"/>
      <c r="DLD34" s="47"/>
      <c r="DLE34" s="47"/>
      <c r="DLF34" s="47"/>
      <c r="DLG34" s="47"/>
      <c r="DLH34" s="47"/>
      <c r="DLI34" s="47"/>
      <c r="DLJ34" s="47"/>
      <c r="DLK34" s="47"/>
      <c r="DLL34" s="47"/>
      <c r="DLM34" s="47"/>
      <c r="DLN34" s="47"/>
      <c r="DLO34" s="47"/>
      <c r="DLP34" s="47"/>
      <c r="DLQ34" s="47"/>
      <c r="DLR34" s="47"/>
      <c r="DLS34" s="47"/>
      <c r="DLT34" s="47"/>
      <c r="DLU34" s="47"/>
      <c r="DLV34" s="47"/>
      <c r="DLW34" s="47"/>
      <c r="DLX34" s="47"/>
      <c r="DLY34" s="47"/>
      <c r="DLZ34" s="47"/>
      <c r="DMA34" s="47"/>
      <c r="DMB34" s="47"/>
      <c r="DMC34" s="47"/>
      <c r="DMD34" s="47"/>
      <c r="DME34" s="47"/>
      <c r="DMF34" s="47"/>
      <c r="DMG34" s="47"/>
      <c r="DMH34" s="47"/>
      <c r="DMI34" s="47"/>
      <c r="DMJ34" s="47"/>
      <c r="DMK34" s="47"/>
      <c r="DML34" s="47"/>
      <c r="DMM34" s="47"/>
      <c r="DMN34" s="47"/>
      <c r="DMO34" s="47"/>
      <c r="DMP34" s="47"/>
      <c r="DMQ34" s="47"/>
      <c r="DMR34" s="47"/>
      <c r="DMS34" s="47"/>
      <c r="DMT34" s="47"/>
      <c r="DMU34" s="47"/>
      <c r="DMV34" s="47"/>
      <c r="DMW34" s="47"/>
      <c r="DMX34" s="47"/>
      <c r="DMY34" s="47"/>
      <c r="DMZ34" s="47"/>
      <c r="DNA34" s="47"/>
      <c r="DNB34" s="47"/>
      <c r="DNC34" s="47"/>
      <c r="DND34" s="47"/>
      <c r="DNE34" s="47"/>
      <c r="DNF34" s="47"/>
      <c r="DNG34" s="47"/>
      <c r="DNH34" s="47"/>
      <c r="DNI34" s="47"/>
      <c r="DNJ34" s="47"/>
      <c r="DNK34" s="47"/>
      <c r="DNL34" s="47"/>
      <c r="DNM34" s="47"/>
      <c r="DNN34" s="47"/>
      <c r="DNO34" s="47"/>
      <c r="DNP34" s="47"/>
      <c r="DNQ34" s="47"/>
      <c r="DNR34" s="47"/>
      <c r="DNS34" s="47"/>
      <c r="DNT34" s="47"/>
      <c r="DNU34" s="47"/>
      <c r="DNV34" s="47"/>
      <c r="DNW34" s="47"/>
      <c r="DNX34" s="47"/>
      <c r="DNY34" s="47"/>
      <c r="DNZ34" s="47"/>
      <c r="DOA34" s="47"/>
      <c r="DOB34" s="47"/>
      <c r="DOC34" s="47"/>
      <c r="DOD34" s="47"/>
      <c r="DOE34" s="47"/>
      <c r="DOF34" s="47"/>
      <c r="DOG34" s="47"/>
      <c r="DOH34" s="47"/>
      <c r="DOI34" s="47"/>
      <c r="DOJ34" s="47"/>
      <c r="DOK34" s="47"/>
      <c r="DOL34" s="47"/>
      <c r="DOM34" s="47"/>
      <c r="DON34" s="47"/>
      <c r="DOO34" s="47"/>
      <c r="DOP34" s="47"/>
      <c r="DOQ34" s="47"/>
      <c r="DOR34" s="47"/>
      <c r="DOS34" s="47"/>
      <c r="DOT34" s="47"/>
      <c r="DOU34" s="47"/>
      <c r="DOV34" s="47"/>
      <c r="DOW34" s="47"/>
      <c r="DOX34" s="47"/>
      <c r="DOY34" s="47"/>
      <c r="DOZ34" s="47"/>
      <c r="DPA34" s="47"/>
      <c r="DPB34" s="47"/>
      <c r="DPC34" s="47"/>
      <c r="DPD34" s="47"/>
      <c r="DPE34" s="47"/>
      <c r="DPF34" s="47"/>
      <c r="DPG34" s="47"/>
      <c r="DPH34" s="47"/>
      <c r="DPI34" s="47"/>
      <c r="DPJ34" s="47"/>
      <c r="DPK34" s="47"/>
      <c r="DPL34" s="47"/>
      <c r="DPM34" s="47"/>
      <c r="DPN34" s="47"/>
      <c r="DPO34" s="47"/>
      <c r="DPP34" s="47"/>
      <c r="DPQ34" s="47"/>
      <c r="DPR34" s="47"/>
      <c r="DPS34" s="47"/>
      <c r="DPT34" s="47"/>
      <c r="DPU34" s="47"/>
      <c r="DPV34" s="47"/>
      <c r="DPW34" s="47"/>
      <c r="DPX34" s="47"/>
      <c r="DPY34" s="47"/>
      <c r="DPZ34" s="47"/>
      <c r="DQA34" s="47"/>
      <c r="DQB34" s="47"/>
      <c r="DQC34" s="47"/>
      <c r="DQD34" s="47"/>
      <c r="DQE34" s="47"/>
      <c r="DQF34" s="47"/>
      <c r="DQG34" s="47"/>
      <c r="DQH34" s="47"/>
      <c r="DQI34" s="47"/>
      <c r="DQJ34" s="47"/>
      <c r="DQK34" s="47"/>
      <c r="DQL34" s="47"/>
      <c r="DQM34" s="47"/>
      <c r="DQN34" s="47"/>
      <c r="DQO34" s="47"/>
      <c r="DQP34" s="47"/>
      <c r="DQQ34" s="47"/>
      <c r="DQR34" s="47"/>
      <c r="DQS34" s="47"/>
      <c r="DQT34" s="47"/>
      <c r="DQU34" s="47"/>
      <c r="DQV34" s="47"/>
      <c r="DQW34" s="47"/>
      <c r="DQX34" s="47"/>
      <c r="DQY34" s="47"/>
      <c r="DQZ34" s="47"/>
      <c r="DRA34" s="47"/>
      <c r="DRB34" s="47"/>
      <c r="DRC34" s="47"/>
      <c r="DRD34" s="47"/>
      <c r="DRE34" s="47"/>
      <c r="DRF34" s="47"/>
      <c r="DRG34" s="47"/>
      <c r="DRH34" s="47"/>
      <c r="DRI34" s="47"/>
      <c r="DRJ34" s="47"/>
      <c r="DRK34" s="47"/>
      <c r="DRL34" s="47"/>
      <c r="DRM34" s="47"/>
      <c r="DRN34" s="47"/>
      <c r="DRO34" s="47"/>
      <c r="DRP34" s="47"/>
      <c r="DRQ34" s="47"/>
      <c r="DRR34" s="47"/>
      <c r="DRS34" s="47"/>
      <c r="DRT34" s="47"/>
      <c r="DRU34" s="47"/>
      <c r="DRV34" s="47"/>
      <c r="DRW34" s="47"/>
      <c r="DRX34" s="47"/>
      <c r="DRY34" s="47"/>
      <c r="DRZ34" s="47"/>
      <c r="DSA34" s="47"/>
      <c r="DSB34" s="47"/>
      <c r="DSC34" s="47"/>
      <c r="DSD34" s="47"/>
      <c r="DSE34" s="47"/>
      <c r="DSF34" s="47"/>
      <c r="DSG34" s="47"/>
      <c r="DSH34" s="47"/>
      <c r="DSI34" s="47"/>
      <c r="DSJ34" s="47"/>
      <c r="DSK34" s="47"/>
      <c r="DSL34" s="47"/>
      <c r="DSM34" s="47"/>
      <c r="DSN34" s="47"/>
      <c r="DSO34" s="47"/>
      <c r="DSP34" s="47"/>
      <c r="DSQ34" s="47"/>
      <c r="DSR34" s="47"/>
      <c r="DSS34" s="47"/>
      <c r="DST34" s="47"/>
      <c r="DSU34" s="47"/>
      <c r="DSV34" s="47"/>
      <c r="DSW34" s="47"/>
      <c r="DSX34" s="47"/>
      <c r="DSY34" s="47"/>
      <c r="DSZ34" s="47"/>
      <c r="DTA34" s="47"/>
      <c r="DTB34" s="47"/>
      <c r="DTC34" s="47"/>
      <c r="DTD34" s="47"/>
      <c r="DTE34" s="47"/>
      <c r="DTF34" s="47"/>
      <c r="DTG34" s="47"/>
      <c r="DTH34" s="47"/>
      <c r="DTI34" s="47"/>
      <c r="DTJ34" s="47"/>
      <c r="DTK34" s="47"/>
      <c r="DTL34" s="47"/>
      <c r="DTM34" s="47"/>
      <c r="DTN34" s="47"/>
      <c r="DTO34" s="47"/>
      <c r="DTP34" s="47"/>
      <c r="DTQ34" s="47"/>
      <c r="DTR34" s="47"/>
      <c r="DTS34" s="47"/>
      <c r="DTT34" s="47"/>
      <c r="DTU34" s="47"/>
      <c r="DTV34" s="47"/>
      <c r="DTW34" s="47"/>
      <c r="DTX34" s="47"/>
      <c r="DTY34" s="47"/>
      <c r="DTZ34" s="47"/>
      <c r="DUA34" s="47"/>
      <c r="DUB34" s="47"/>
      <c r="DUC34" s="47"/>
      <c r="DUD34" s="47"/>
      <c r="DUE34" s="47"/>
      <c r="DUF34" s="47"/>
      <c r="DUG34" s="47"/>
      <c r="DUH34" s="47"/>
      <c r="DUI34" s="47"/>
      <c r="DUJ34" s="47"/>
      <c r="DUK34" s="47"/>
      <c r="DUL34" s="47"/>
      <c r="DUM34" s="47"/>
      <c r="DUN34" s="47"/>
      <c r="DUO34" s="47"/>
      <c r="DUP34" s="47"/>
      <c r="DUQ34" s="47"/>
      <c r="DUR34" s="47"/>
      <c r="DUS34" s="47"/>
      <c r="DUT34" s="47"/>
      <c r="DUU34" s="47"/>
      <c r="DUV34" s="47"/>
      <c r="DUW34" s="47"/>
      <c r="DUX34" s="47"/>
      <c r="DUY34" s="47"/>
      <c r="DUZ34" s="47"/>
      <c r="DVA34" s="47"/>
      <c r="DVB34" s="47"/>
      <c r="DVC34" s="47"/>
      <c r="DVD34" s="47"/>
      <c r="DVE34" s="47"/>
      <c r="DVF34" s="47"/>
      <c r="DVG34" s="47"/>
      <c r="DVH34" s="47"/>
      <c r="DVI34" s="47"/>
      <c r="DVJ34" s="47"/>
      <c r="DVK34" s="47"/>
      <c r="DVL34" s="47"/>
      <c r="DVM34" s="47"/>
      <c r="DVN34" s="47"/>
      <c r="DVO34" s="47"/>
      <c r="DVP34" s="47"/>
      <c r="DVQ34" s="47"/>
      <c r="DVR34" s="47"/>
      <c r="DVS34" s="47"/>
      <c r="DVT34" s="47"/>
      <c r="DVU34" s="47"/>
      <c r="DVV34" s="47"/>
      <c r="DVW34" s="47"/>
      <c r="DVX34" s="47"/>
      <c r="DVY34" s="47"/>
      <c r="DVZ34" s="47"/>
      <c r="DWA34" s="47"/>
      <c r="DWB34" s="47"/>
      <c r="DWC34" s="47"/>
      <c r="DWD34" s="47"/>
      <c r="DWE34" s="47"/>
      <c r="DWF34" s="47"/>
      <c r="DWG34" s="47"/>
      <c r="DWH34" s="47"/>
      <c r="DWI34" s="47"/>
      <c r="DWJ34" s="47"/>
      <c r="DWK34" s="47"/>
      <c r="DWL34" s="47"/>
      <c r="DWM34" s="47"/>
      <c r="DWN34" s="47"/>
      <c r="DWO34" s="47"/>
      <c r="DWP34" s="47"/>
      <c r="DWQ34" s="47"/>
      <c r="DWR34" s="47"/>
      <c r="DWS34" s="47"/>
      <c r="DWT34" s="47"/>
      <c r="DWU34" s="47"/>
      <c r="DWV34" s="47"/>
      <c r="DWW34" s="47"/>
      <c r="DWX34" s="47"/>
      <c r="DWY34" s="47"/>
      <c r="DWZ34" s="47"/>
      <c r="DXA34" s="47"/>
      <c r="DXB34" s="47"/>
      <c r="DXC34" s="47"/>
      <c r="DXD34" s="47"/>
      <c r="DXE34" s="47"/>
      <c r="DXF34" s="47"/>
      <c r="DXG34" s="47"/>
      <c r="DXH34" s="47"/>
      <c r="DXI34" s="47"/>
      <c r="DXJ34" s="47"/>
      <c r="DXK34" s="47"/>
      <c r="DXL34" s="47"/>
      <c r="DXM34" s="47"/>
      <c r="DXN34" s="47"/>
      <c r="DXO34" s="47"/>
      <c r="DXP34" s="47"/>
      <c r="DXQ34" s="47"/>
      <c r="DXR34" s="47"/>
      <c r="DXS34" s="47"/>
      <c r="DXT34" s="47"/>
      <c r="DXU34" s="47"/>
      <c r="DXV34" s="47"/>
      <c r="DXW34" s="47"/>
      <c r="DXX34" s="47"/>
      <c r="DXY34" s="47"/>
      <c r="DXZ34" s="47"/>
      <c r="DYA34" s="47"/>
      <c r="DYB34" s="47"/>
      <c r="DYC34" s="47"/>
      <c r="DYD34" s="47"/>
      <c r="DYE34" s="47"/>
      <c r="DYF34" s="47"/>
      <c r="DYG34" s="47"/>
      <c r="DYH34" s="47"/>
      <c r="DYI34" s="47"/>
      <c r="DYJ34" s="47"/>
      <c r="DYK34" s="47"/>
      <c r="DYL34" s="47"/>
      <c r="DYM34" s="47"/>
      <c r="DYN34" s="47"/>
      <c r="DYO34" s="47"/>
      <c r="DYP34" s="47"/>
      <c r="DYQ34" s="47"/>
      <c r="DYR34" s="47"/>
      <c r="DYS34" s="47"/>
      <c r="DYT34" s="47"/>
      <c r="DYU34" s="47"/>
      <c r="DYV34" s="47"/>
      <c r="DYW34" s="47"/>
      <c r="DYX34" s="47"/>
      <c r="DYY34" s="47"/>
      <c r="DYZ34" s="47"/>
      <c r="DZA34" s="47"/>
      <c r="DZB34" s="47"/>
      <c r="DZC34" s="47"/>
      <c r="DZD34" s="47"/>
      <c r="DZE34" s="47"/>
      <c r="DZF34" s="47"/>
      <c r="DZG34" s="47"/>
      <c r="DZH34" s="47"/>
      <c r="DZI34" s="47"/>
      <c r="DZJ34" s="47"/>
      <c r="DZK34" s="47"/>
      <c r="DZL34" s="47"/>
      <c r="DZM34" s="47"/>
      <c r="DZN34" s="47"/>
      <c r="DZO34" s="47"/>
      <c r="DZP34" s="47"/>
      <c r="DZQ34" s="47"/>
      <c r="DZR34" s="47"/>
      <c r="DZS34" s="47"/>
      <c r="DZT34" s="47"/>
      <c r="DZU34" s="47"/>
      <c r="DZV34" s="47"/>
      <c r="DZW34" s="47"/>
      <c r="DZX34" s="47"/>
      <c r="DZY34" s="47"/>
      <c r="DZZ34" s="47"/>
      <c r="EAA34" s="47"/>
      <c r="EAB34" s="47"/>
      <c r="EAC34" s="47"/>
      <c r="EAD34" s="47"/>
      <c r="EAE34" s="47"/>
      <c r="EAF34" s="47"/>
      <c r="EAG34" s="47"/>
      <c r="EAH34" s="47"/>
      <c r="EAI34" s="47"/>
      <c r="EAJ34" s="47"/>
      <c r="EAK34" s="47"/>
      <c r="EAL34" s="47"/>
      <c r="EAM34" s="47"/>
      <c r="EAN34" s="47"/>
      <c r="EAO34" s="47"/>
      <c r="EAP34" s="47"/>
      <c r="EAQ34" s="47"/>
      <c r="EAR34" s="47"/>
      <c r="EAS34" s="47"/>
      <c r="EAT34" s="47"/>
      <c r="EAU34" s="47"/>
      <c r="EAV34" s="47"/>
      <c r="EAW34" s="47"/>
      <c r="EAX34" s="47"/>
      <c r="EAY34" s="47"/>
      <c r="EAZ34" s="47"/>
      <c r="EBA34" s="47"/>
      <c r="EBB34" s="47"/>
      <c r="EBC34" s="47"/>
      <c r="EBD34" s="47"/>
      <c r="EBE34" s="47"/>
      <c r="EBF34" s="47"/>
      <c r="EBG34" s="47"/>
      <c r="EBH34" s="47"/>
      <c r="EBI34" s="47"/>
      <c r="EBJ34" s="47"/>
      <c r="EBK34" s="47"/>
      <c r="EBL34" s="47"/>
      <c r="EBM34" s="47"/>
      <c r="EBN34" s="47"/>
      <c r="EBO34" s="47"/>
      <c r="EBP34" s="47"/>
      <c r="EBQ34" s="47"/>
      <c r="EBR34" s="47"/>
      <c r="EBS34" s="47"/>
      <c r="EBT34" s="47"/>
      <c r="EBU34" s="47"/>
      <c r="EBV34" s="47"/>
      <c r="EBW34" s="47"/>
      <c r="EBX34" s="47"/>
      <c r="EBY34" s="47"/>
      <c r="EBZ34" s="47"/>
      <c r="ECA34" s="47"/>
      <c r="ECB34" s="47"/>
      <c r="ECC34" s="47"/>
      <c r="ECD34" s="47"/>
      <c r="ECE34" s="47"/>
      <c r="ECF34" s="47"/>
      <c r="ECG34" s="47"/>
      <c r="ECH34" s="47"/>
      <c r="ECI34" s="47"/>
      <c r="ECJ34" s="47"/>
      <c r="ECK34" s="47"/>
      <c r="ECL34" s="47"/>
      <c r="ECM34" s="47"/>
      <c r="ECN34" s="47"/>
      <c r="ECO34" s="47"/>
      <c r="ECP34" s="47"/>
      <c r="ECQ34" s="47"/>
      <c r="ECR34" s="47"/>
      <c r="ECS34" s="47"/>
      <c r="ECT34" s="47"/>
      <c r="ECU34" s="47"/>
      <c r="ECV34" s="47"/>
      <c r="ECW34" s="47"/>
      <c r="ECX34" s="47"/>
      <c r="ECY34" s="47"/>
      <c r="ECZ34" s="47"/>
      <c r="EDA34" s="47"/>
      <c r="EDB34" s="47"/>
      <c r="EDC34" s="47"/>
      <c r="EDD34" s="47"/>
      <c r="EDE34" s="47"/>
      <c r="EDF34" s="47"/>
      <c r="EDG34" s="47"/>
      <c r="EDH34" s="47"/>
      <c r="EDI34" s="47"/>
      <c r="EDJ34" s="47"/>
      <c r="EDK34" s="47"/>
      <c r="EDL34" s="47"/>
      <c r="EDM34" s="47"/>
      <c r="EDN34" s="47"/>
      <c r="EDO34" s="47"/>
      <c r="EDP34" s="47"/>
      <c r="EDQ34" s="47"/>
      <c r="EDR34" s="47"/>
      <c r="EDS34" s="47"/>
      <c r="EDT34" s="47"/>
      <c r="EDU34" s="47"/>
      <c r="EDV34" s="47"/>
      <c r="EDW34" s="47"/>
      <c r="EDX34" s="47"/>
      <c r="EDY34" s="47"/>
      <c r="EDZ34" s="47"/>
      <c r="EEA34" s="47"/>
      <c r="EEB34" s="47"/>
      <c r="EEC34" s="47"/>
      <c r="EED34" s="47"/>
      <c r="EEE34" s="47"/>
      <c r="EEF34" s="47"/>
      <c r="EEG34" s="47"/>
      <c r="EEH34" s="47"/>
      <c r="EEI34" s="47"/>
      <c r="EEJ34" s="47"/>
      <c r="EEK34" s="47"/>
      <c r="EEL34" s="47"/>
      <c r="EEM34" s="47"/>
      <c r="EEN34" s="47"/>
      <c r="EEO34" s="47"/>
      <c r="EEP34" s="47"/>
      <c r="EEQ34" s="47"/>
      <c r="EER34" s="47"/>
      <c r="EES34" s="47"/>
      <c r="EET34" s="47"/>
      <c r="EEU34" s="47"/>
      <c r="EEV34" s="47"/>
      <c r="EEW34" s="47"/>
      <c r="EEX34" s="47"/>
      <c r="EEY34" s="47"/>
      <c r="EEZ34" s="47"/>
      <c r="EFA34" s="47"/>
      <c r="EFB34" s="47"/>
      <c r="EFC34" s="47"/>
      <c r="EFD34" s="47"/>
      <c r="EFE34" s="47"/>
      <c r="EFF34" s="47"/>
      <c r="EFG34" s="47"/>
      <c r="EFH34" s="47"/>
      <c r="EFI34" s="47"/>
      <c r="EFJ34" s="47"/>
      <c r="EFK34" s="47"/>
      <c r="EFL34" s="47"/>
      <c r="EFM34" s="47"/>
      <c r="EFN34" s="47"/>
      <c r="EFO34" s="47"/>
      <c r="EFP34" s="47"/>
      <c r="EFQ34" s="47"/>
      <c r="EFR34" s="47"/>
      <c r="EFS34" s="47"/>
      <c r="EFT34" s="47"/>
      <c r="EFU34" s="47"/>
      <c r="EFV34" s="47"/>
      <c r="EFW34" s="47"/>
      <c r="EFX34" s="47"/>
      <c r="EFY34" s="47"/>
      <c r="EFZ34" s="47"/>
      <c r="EGA34" s="47"/>
      <c r="EGB34" s="47"/>
      <c r="EGC34" s="47"/>
      <c r="EGD34" s="47"/>
      <c r="EGE34" s="47"/>
      <c r="EGF34" s="47"/>
      <c r="EGG34" s="47"/>
      <c r="EGH34" s="47"/>
      <c r="EGI34" s="47"/>
      <c r="EGJ34" s="47"/>
      <c r="EGK34" s="47"/>
      <c r="EGL34" s="47"/>
      <c r="EGM34" s="47"/>
      <c r="EGN34" s="47"/>
      <c r="EGO34" s="47"/>
      <c r="EGP34" s="47"/>
      <c r="EGQ34" s="47"/>
      <c r="EGR34" s="47"/>
      <c r="EGS34" s="47"/>
      <c r="EGT34" s="47"/>
      <c r="EGU34" s="47"/>
      <c r="EGV34" s="47"/>
      <c r="EGW34" s="47"/>
      <c r="EGX34" s="47"/>
      <c r="EGY34" s="47"/>
      <c r="EGZ34" s="47"/>
      <c r="EHA34" s="47"/>
      <c r="EHB34" s="47"/>
      <c r="EHC34" s="47"/>
      <c r="EHD34" s="47"/>
      <c r="EHE34" s="47"/>
      <c r="EHF34" s="47"/>
      <c r="EHG34" s="47"/>
      <c r="EHH34" s="47"/>
      <c r="EHI34" s="47"/>
      <c r="EHJ34" s="47"/>
      <c r="EHK34" s="47"/>
      <c r="EHL34" s="47"/>
      <c r="EHM34" s="47"/>
      <c r="EHN34" s="47"/>
      <c r="EHO34" s="47"/>
      <c r="EHP34" s="47"/>
      <c r="EHQ34" s="47"/>
      <c r="EHR34" s="47"/>
      <c r="EHS34" s="47"/>
      <c r="EHT34" s="47"/>
      <c r="EHU34" s="47"/>
      <c r="EHV34" s="47"/>
      <c r="EHW34" s="47"/>
      <c r="EHX34" s="47"/>
      <c r="EHY34" s="47"/>
      <c r="EHZ34" s="47"/>
      <c r="EIA34" s="47"/>
      <c r="EIB34" s="47"/>
      <c r="EIC34" s="47"/>
      <c r="EID34" s="47"/>
      <c r="EIE34" s="47"/>
      <c r="EIF34" s="47"/>
      <c r="EIG34" s="47"/>
      <c r="EIH34" s="47"/>
      <c r="EII34" s="47"/>
      <c r="EIJ34" s="47"/>
      <c r="EIK34" s="47"/>
      <c r="EIL34" s="47"/>
      <c r="EIM34" s="47"/>
      <c r="EIN34" s="47"/>
      <c r="EIO34" s="47"/>
      <c r="EIP34" s="47"/>
      <c r="EIQ34" s="47"/>
      <c r="EIR34" s="47"/>
      <c r="EIS34" s="47"/>
      <c r="EIT34" s="47"/>
      <c r="EIU34" s="47"/>
      <c r="EIV34" s="47"/>
      <c r="EIW34" s="47"/>
      <c r="EIX34" s="47"/>
      <c r="EIY34" s="47"/>
      <c r="EIZ34" s="47"/>
      <c r="EJA34" s="47"/>
      <c r="EJB34" s="47"/>
      <c r="EJC34" s="47"/>
      <c r="EJD34" s="47"/>
      <c r="EJE34" s="47"/>
      <c r="EJF34" s="47"/>
      <c r="EJG34" s="47"/>
      <c r="EJH34" s="47"/>
      <c r="EJI34" s="47"/>
      <c r="EJJ34" s="47"/>
      <c r="EJK34" s="47"/>
      <c r="EJL34" s="47"/>
      <c r="EJM34" s="47"/>
      <c r="EJN34" s="47"/>
      <c r="EJO34" s="47"/>
      <c r="EJP34" s="47"/>
      <c r="EJQ34" s="47"/>
      <c r="EJR34" s="47"/>
      <c r="EJS34" s="47"/>
      <c r="EJT34" s="47"/>
      <c r="EJU34" s="47"/>
      <c r="EJV34" s="47"/>
      <c r="EJW34" s="47"/>
      <c r="EJX34" s="47"/>
      <c r="EJY34" s="47"/>
      <c r="EJZ34" s="47"/>
      <c r="EKA34" s="47"/>
      <c r="EKB34" s="47"/>
      <c r="EKC34" s="47"/>
      <c r="EKD34" s="47"/>
      <c r="EKE34" s="47"/>
      <c r="EKF34" s="47"/>
      <c r="EKG34" s="47"/>
      <c r="EKH34" s="47"/>
      <c r="EKI34" s="47"/>
      <c r="EKJ34" s="47"/>
      <c r="EKK34" s="47"/>
      <c r="EKL34" s="47"/>
      <c r="EKM34" s="47"/>
      <c r="EKN34" s="47"/>
      <c r="EKO34" s="47"/>
      <c r="EKP34" s="47"/>
      <c r="EKQ34" s="47"/>
      <c r="EKR34" s="47"/>
      <c r="EKS34" s="47"/>
      <c r="EKT34" s="47"/>
      <c r="EKU34" s="47"/>
      <c r="EKV34" s="47"/>
      <c r="EKW34" s="47"/>
      <c r="EKX34" s="47"/>
      <c r="EKY34" s="47"/>
      <c r="EKZ34" s="47"/>
      <c r="ELA34" s="47"/>
      <c r="ELB34" s="47"/>
      <c r="ELC34" s="47"/>
      <c r="ELD34" s="47"/>
      <c r="ELE34" s="47"/>
      <c r="ELF34" s="47"/>
      <c r="ELG34" s="47"/>
      <c r="ELH34" s="47"/>
      <c r="ELI34" s="47"/>
      <c r="ELJ34" s="47"/>
      <c r="ELK34" s="47"/>
      <c r="ELL34" s="47"/>
      <c r="ELM34" s="47"/>
      <c r="ELN34" s="47"/>
      <c r="ELO34" s="47"/>
      <c r="ELP34" s="47"/>
      <c r="ELQ34" s="47"/>
      <c r="ELR34" s="47"/>
      <c r="ELS34" s="47"/>
      <c r="ELT34" s="47"/>
      <c r="ELU34" s="47"/>
      <c r="ELV34" s="47"/>
      <c r="ELW34" s="47"/>
      <c r="ELX34" s="47"/>
      <c r="ELY34" s="47"/>
      <c r="ELZ34" s="47"/>
      <c r="EMA34" s="47"/>
      <c r="EMB34" s="47"/>
      <c r="EMC34" s="47"/>
      <c r="EMD34" s="47"/>
      <c r="EME34" s="47"/>
      <c r="EMF34" s="47"/>
      <c r="EMG34" s="47"/>
      <c r="EMH34" s="47"/>
      <c r="EMI34" s="47"/>
      <c r="EMJ34" s="47"/>
      <c r="EMK34" s="47"/>
      <c r="EML34" s="47"/>
      <c r="EMM34" s="47"/>
      <c r="EMN34" s="47"/>
      <c r="EMO34" s="47"/>
      <c r="EMP34" s="47"/>
      <c r="EMQ34" s="47"/>
      <c r="EMR34" s="47"/>
      <c r="EMS34" s="47"/>
      <c r="EMT34" s="47"/>
      <c r="EMU34" s="47"/>
      <c r="EMV34" s="47"/>
      <c r="EMW34" s="47"/>
      <c r="EMX34" s="47"/>
      <c r="EMY34" s="47"/>
      <c r="EMZ34" s="47"/>
      <c r="ENA34" s="47"/>
      <c r="ENB34" s="47"/>
      <c r="ENC34" s="47"/>
      <c r="END34" s="47"/>
      <c r="ENE34" s="47"/>
      <c r="ENF34" s="47"/>
      <c r="ENG34" s="47"/>
      <c r="ENH34" s="47"/>
      <c r="ENI34" s="47"/>
      <c r="ENJ34" s="47"/>
      <c r="ENK34" s="47"/>
      <c r="ENL34" s="47"/>
      <c r="ENM34" s="47"/>
      <c r="ENN34" s="47"/>
      <c r="ENO34" s="47"/>
      <c r="ENP34" s="47"/>
      <c r="ENQ34" s="47"/>
      <c r="ENR34" s="47"/>
      <c r="ENS34" s="47"/>
      <c r="ENT34" s="47"/>
      <c r="ENU34" s="47"/>
      <c r="ENV34" s="47"/>
      <c r="ENW34" s="47"/>
      <c r="ENX34" s="47"/>
      <c r="ENY34" s="47"/>
      <c r="ENZ34" s="47"/>
      <c r="EOA34" s="47"/>
      <c r="EOB34" s="47"/>
      <c r="EOC34" s="47"/>
      <c r="EOD34" s="47"/>
      <c r="EOE34" s="47"/>
      <c r="EOF34" s="47"/>
      <c r="EOG34" s="47"/>
      <c r="EOH34" s="47"/>
      <c r="EOI34" s="47"/>
      <c r="EOJ34" s="47"/>
      <c r="EOK34" s="47"/>
      <c r="EOL34" s="47"/>
      <c r="EOM34" s="47"/>
      <c r="EON34" s="47"/>
      <c r="EOO34" s="47"/>
      <c r="EOP34" s="47"/>
      <c r="EOQ34" s="47"/>
      <c r="EOR34" s="47"/>
      <c r="EOS34" s="47"/>
      <c r="EOT34" s="47"/>
      <c r="EOU34" s="47"/>
      <c r="EOV34" s="47"/>
      <c r="EOW34" s="47"/>
      <c r="EOX34" s="47"/>
      <c r="EOY34" s="47"/>
      <c r="EOZ34" s="47"/>
      <c r="EPA34" s="47"/>
      <c r="EPB34" s="47"/>
      <c r="EPC34" s="47"/>
      <c r="EPD34" s="47"/>
      <c r="EPE34" s="47"/>
      <c r="EPF34" s="47"/>
      <c r="EPG34" s="47"/>
      <c r="EPH34" s="47"/>
      <c r="EPI34" s="47"/>
      <c r="EPJ34" s="47"/>
      <c r="EPK34" s="47"/>
      <c r="EPL34" s="47"/>
      <c r="EPM34" s="47"/>
      <c r="EPN34" s="47"/>
      <c r="EPO34" s="47"/>
      <c r="EPP34" s="47"/>
      <c r="EPQ34" s="47"/>
      <c r="EPR34" s="47"/>
      <c r="EPS34" s="47"/>
      <c r="EPT34" s="47"/>
      <c r="EPU34" s="47"/>
      <c r="EPV34" s="47"/>
      <c r="EPW34" s="47"/>
      <c r="EPX34" s="47"/>
      <c r="EPY34" s="47"/>
      <c r="EPZ34" s="47"/>
      <c r="EQA34" s="47"/>
      <c r="EQB34" s="47"/>
      <c r="EQC34" s="47"/>
      <c r="EQD34" s="47"/>
      <c r="EQE34" s="47"/>
      <c r="EQF34" s="47"/>
      <c r="EQG34" s="47"/>
      <c r="EQH34" s="47"/>
      <c r="EQI34" s="47"/>
      <c r="EQJ34" s="47"/>
      <c r="EQK34" s="47"/>
      <c r="EQL34" s="47"/>
      <c r="EQM34" s="47"/>
      <c r="EQN34" s="47"/>
      <c r="EQO34" s="47"/>
      <c r="EQP34" s="47"/>
      <c r="EQQ34" s="47"/>
      <c r="EQR34" s="47"/>
      <c r="EQS34" s="47"/>
      <c r="EQT34" s="47"/>
      <c r="EQU34" s="47"/>
      <c r="EQV34" s="47"/>
      <c r="EQW34" s="47"/>
      <c r="EQX34" s="47"/>
      <c r="EQY34" s="47"/>
      <c r="EQZ34" s="47"/>
      <c r="ERA34" s="47"/>
      <c r="ERB34" s="47"/>
      <c r="ERC34" s="47"/>
      <c r="ERD34" s="47"/>
      <c r="ERE34" s="47"/>
      <c r="ERF34" s="47"/>
      <c r="ERG34" s="47"/>
      <c r="ERH34" s="47"/>
      <c r="ERI34" s="47"/>
      <c r="ERJ34" s="47"/>
      <c r="ERK34" s="47"/>
      <c r="ERL34" s="47"/>
      <c r="ERM34" s="47"/>
      <c r="ERN34" s="47"/>
      <c r="ERO34" s="47"/>
      <c r="ERP34" s="47"/>
      <c r="ERQ34" s="47"/>
      <c r="ERR34" s="47"/>
      <c r="ERS34" s="47"/>
      <c r="ERT34" s="47"/>
      <c r="ERU34" s="47"/>
      <c r="ERV34" s="47"/>
      <c r="ERW34" s="47"/>
      <c r="ERX34" s="47"/>
      <c r="ERY34" s="47"/>
      <c r="ERZ34" s="47"/>
      <c r="ESA34" s="47"/>
      <c r="ESB34" s="47"/>
      <c r="ESC34" s="47"/>
      <c r="ESD34" s="47"/>
      <c r="ESE34" s="47"/>
      <c r="ESF34" s="47"/>
      <c r="ESG34" s="47"/>
      <c r="ESH34" s="47"/>
      <c r="ESI34" s="47"/>
      <c r="ESJ34" s="47"/>
      <c r="ESK34" s="47"/>
      <c r="ESL34" s="47"/>
      <c r="ESM34" s="47"/>
      <c r="ESN34" s="47"/>
      <c r="ESO34" s="47"/>
      <c r="ESP34" s="47"/>
      <c r="ESQ34" s="47"/>
      <c r="ESR34" s="47"/>
      <c r="ESS34" s="47"/>
      <c r="EST34" s="47"/>
      <c r="ESU34" s="47"/>
      <c r="ESV34" s="47"/>
      <c r="ESW34" s="47"/>
      <c r="ESX34" s="47"/>
      <c r="ESY34" s="47"/>
      <c r="ESZ34" s="47"/>
      <c r="ETA34" s="47"/>
      <c r="ETB34" s="47"/>
      <c r="ETC34" s="47"/>
      <c r="ETD34" s="47"/>
      <c r="ETE34" s="47"/>
      <c r="ETF34" s="47"/>
      <c r="ETG34" s="47"/>
      <c r="ETH34" s="47"/>
      <c r="ETI34" s="47"/>
      <c r="ETJ34" s="47"/>
      <c r="ETK34" s="47"/>
      <c r="ETL34" s="47"/>
      <c r="ETM34" s="47"/>
      <c r="ETN34" s="47"/>
      <c r="ETO34" s="47"/>
      <c r="ETP34" s="47"/>
      <c r="ETQ34" s="47"/>
      <c r="ETR34" s="47"/>
      <c r="ETS34" s="47"/>
      <c r="ETT34" s="47"/>
      <c r="ETU34" s="47"/>
      <c r="ETV34" s="47"/>
      <c r="ETW34" s="47"/>
      <c r="ETX34" s="47"/>
      <c r="ETY34" s="47"/>
      <c r="ETZ34" s="47"/>
      <c r="EUA34" s="47"/>
      <c r="EUB34" s="47"/>
      <c r="EUC34" s="47"/>
      <c r="EUD34" s="47"/>
      <c r="EUE34" s="47"/>
      <c r="EUF34" s="47"/>
      <c r="EUG34" s="47"/>
      <c r="EUH34" s="47"/>
      <c r="EUI34" s="47"/>
      <c r="EUJ34" s="47"/>
      <c r="EUK34" s="47"/>
      <c r="EUL34" s="47"/>
      <c r="EUM34" s="47"/>
      <c r="EUN34" s="47"/>
      <c r="EUO34" s="47"/>
      <c r="EUP34" s="47"/>
      <c r="EUQ34" s="47"/>
      <c r="EUR34" s="47"/>
      <c r="EUS34" s="47"/>
      <c r="EUT34" s="47"/>
      <c r="EUU34" s="47"/>
      <c r="EUV34" s="47"/>
      <c r="EUW34" s="47"/>
      <c r="EUX34" s="47"/>
      <c r="EUY34" s="47"/>
      <c r="EUZ34" s="47"/>
      <c r="EVA34" s="47"/>
      <c r="EVB34" s="47"/>
      <c r="EVC34" s="47"/>
      <c r="EVD34" s="47"/>
      <c r="EVE34" s="47"/>
      <c r="EVF34" s="47"/>
      <c r="EVG34" s="47"/>
      <c r="EVH34" s="47"/>
      <c r="EVI34" s="47"/>
      <c r="EVJ34" s="47"/>
      <c r="EVK34" s="47"/>
      <c r="EVL34" s="47"/>
      <c r="EVM34" s="47"/>
      <c r="EVN34" s="47"/>
      <c r="EVO34" s="47"/>
      <c r="EVP34" s="47"/>
      <c r="EVQ34" s="47"/>
      <c r="EVR34" s="47"/>
      <c r="EVS34" s="47"/>
      <c r="EVT34" s="47"/>
      <c r="EVU34" s="47"/>
      <c r="EVV34" s="47"/>
      <c r="EVW34" s="47"/>
      <c r="EVX34" s="47"/>
      <c r="EVY34" s="47"/>
      <c r="EVZ34" s="47"/>
      <c r="EWA34" s="47"/>
      <c r="EWB34" s="47"/>
      <c r="EWC34" s="47"/>
      <c r="EWD34" s="47"/>
      <c r="EWE34" s="47"/>
      <c r="EWF34" s="47"/>
      <c r="EWG34" s="47"/>
      <c r="EWH34" s="47"/>
      <c r="EWI34" s="47"/>
      <c r="EWJ34" s="47"/>
      <c r="EWK34" s="47"/>
      <c r="EWL34" s="47"/>
      <c r="EWM34" s="47"/>
      <c r="EWN34" s="47"/>
      <c r="EWO34" s="47"/>
      <c r="EWP34" s="47"/>
      <c r="EWQ34" s="47"/>
      <c r="EWR34" s="47"/>
      <c r="EWS34" s="47"/>
      <c r="EWT34" s="47"/>
      <c r="EWU34" s="47"/>
      <c r="EWV34" s="47"/>
      <c r="EWW34" s="47"/>
      <c r="EWX34" s="47"/>
      <c r="EWY34" s="47"/>
      <c r="EWZ34" s="47"/>
      <c r="EXA34" s="47"/>
      <c r="EXB34" s="47"/>
      <c r="EXC34" s="47"/>
      <c r="EXD34" s="47"/>
      <c r="EXE34" s="47"/>
      <c r="EXF34" s="47"/>
      <c r="EXG34" s="47"/>
      <c r="EXH34" s="47"/>
      <c r="EXI34" s="47"/>
      <c r="EXJ34" s="47"/>
      <c r="EXK34" s="47"/>
      <c r="EXL34" s="47"/>
      <c r="EXM34" s="47"/>
      <c r="EXN34" s="47"/>
      <c r="EXO34" s="47"/>
      <c r="EXP34" s="47"/>
      <c r="EXQ34" s="47"/>
      <c r="EXR34" s="47"/>
      <c r="EXS34" s="47"/>
      <c r="EXT34" s="47"/>
      <c r="EXU34" s="47"/>
      <c r="EXV34" s="47"/>
      <c r="EXW34" s="47"/>
      <c r="EXX34" s="47"/>
      <c r="EXY34" s="47"/>
      <c r="EXZ34" s="47"/>
      <c r="EYA34" s="47"/>
      <c r="EYB34" s="47"/>
      <c r="EYC34" s="47"/>
      <c r="EYD34" s="47"/>
      <c r="EYE34" s="47"/>
      <c r="EYF34" s="47"/>
      <c r="EYG34" s="47"/>
      <c r="EYH34" s="47"/>
      <c r="EYI34" s="47"/>
      <c r="EYJ34" s="47"/>
      <c r="EYK34" s="47"/>
      <c r="EYL34" s="47"/>
      <c r="EYM34" s="47"/>
      <c r="EYN34" s="47"/>
      <c r="EYO34" s="47"/>
      <c r="EYP34" s="47"/>
      <c r="EYQ34" s="47"/>
      <c r="EYR34" s="47"/>
      <c r="EYS34" s="47"/>
      <c r="EYT34" s="47"/>
      <c r="EYU34" s="47"/>
      <c r="EYV34" s="47"/>
      <c r="EYW34" s="47"/>
      <c r="EYX34" s="47"/>
      <c r="EYY34" s="47"/>
      <c r="EYZ34" s="47"/>
      <c r="EZA34" s="47"/>
      <c r="EZB34" s="47"/>
      <c r="EZC34" s="47"/>
      <c r="EZD34" s="47"/>
      <c r="EZE34" s="47"/>
      <c r="EZF34" s="47"/>
      <c r="EZG34" s="47"/>
      <c r="EZH34" s="47"/>
      <c r="EZI34" s="47"/>
      <c r="EZJ34" s="47"/>
      <c r="EZK34" s="47"/>
      <c r="EZL34" s="47"/>
      <c r="EZM34" s="47"/>
      <c r="EZN34" s="47"/>
      <c r="EZO34" s="47"/>
      <c r="EZP34" s="47"/>
      <c r="EZQ34" s="47"/>
      <c r="EZR34" s="47"/>
      <c r="EZS34" s="47"/>
      <c r="EZT34" s="47"/>
      <c r="EZU34" s="47"/>
      <c r="EZV34" s="47"/>
      <c r="EZW34" s="47"/>
      <c r="EZX34" s="47"/>
      <c r="EZY34" s="47"/>
      <c r="EZZ34" s="47"/>
      <c r="FAA34" s="47"/>
      <c r="FAB34" s="47"/>
      <c r="FAC34" s="47"/>
      <c r="FAD34" s="47"/>
      <c r="FAE34" s="47"/>
      <c r="FAF34" s="47"/>
      <c r="FAG34" s="47"/>
      <c r="FAH34" s="47"/>
      <c r="FAI34" s="47"/>
      <c r="FAJ34" s="47"/>
      <c r="FAK34" s="47"/>
      <c r="FAL34" s="47"/>
      <c r="FAM34" s="47"/>
      <c r="FAN34" s="47"/>
      <c r="FAO34" s="47"/>
      <c r="FAP34" s="47"/>
      <c r="FAQ34" s="47"/>
      <c r="FAR34" s="47"/>
      <c r="FAS34" s="47"/>
      <c r="FAT34" s="47"/>
      <c r="FAU34" s="47"/>
      <c r="FAV34" s="47"/>
      <c r="FAW34" s="47"/>
      <c r="FAX34" s="47"/>
      <c r="FAY34" s="47"/>
      <c r="FAZ34" s="47"/>
      <c r="FBA34" s="47"/>
      <c r="FBB34" s="47"/>
      <c r="FBC34" s="47"/>
      <c r="FBD34" s="47"/>
      <c r="FBE34" s="47"/>
      <c r="FBF34" s="47"/>
      <c r="FBG34" s="47"/>
      <c r="FBH34" s="47"/>
      <c r="FBI34" s="47"/>
      <c r="FBJ34" s="47"/>
      <c r="FBK34" s="47"/>
      <c r="FBL34" s="47"/>
      <c r="FBM34" s="47"/>
      <c r="FBN34" s="47"/>
      <c r="FBO34" s="47"/>
      <c r="FBP34" s="47"/>
      <c r="FBQ34" s="47"/>
      <c r="FBR34" s="47"/>
      <c r="FBS34" s="47"/>
      <c r="FBT34" s="47"/>
      <c r="FBU34" s="47"/>
      <c r="FBV34" s="47"/>
      <c r="FBW34" s="47"/>
      <c r="FBX34" s="47"/>
      <c r="FBY34" s="47"/>
      <c r="FBZ34" s="47"/>
      <c r="FCA34" s="47"/>
      <c r="FCB34" s="47"/>
      <c r="FCC34" s="47"/>
      <c r="FCD34" s="47"/>
      <c r="FCE34" s="47"/>
      <c r="FCF34" s="47"/>
      <c r="FCG34" s="47"/>
      <c r="FCH34" s="47"/>
      <c r="FCI34" s="47"/>
      <c r="FCJ34" s="47"/>
      <c r="FCK34" s="47"/>
      <c r="FCL34" s="47"/>
      <c r="FCM34" s="47"/>
      <c r="FCN34" s="47"/>
      <c r="FCO34" s="47"/>
      <c r="FCP34" s="47"/>
      <c r="FCQ34" s="47"/>
      <c r="FCR34" s="47"/>
      <c r="FCS34" s="47"/>
      <c r="FCT34" s="47"/>
      <c r="FCU34" s="47"/>
      <c r="FCV34" s="47"/>
      <c r="FCW34" s="47"/>
      <c r="FCX34" s="47"/>
      <c r="FCY34" s="47"/>
      <c r="FCZ34" s="47"/>
      <c r="FDA34" s="47"/>
      <c r="FDB34" s="47"/>
      <c r="FDC34" s="47"/>
      <c r="FDD34" s="47"/>
      <c r="FDE34" s="47"/>
      <c r="FDF34" s="47"/>
      <c r="FDG34" s="47"/>
      <c r="FDH34" s="47"/>
      <c r="FDI34" s="47"/>
      <c r="FDJ34" s="47"/>
      <c r="FDK34" s="47"/>
      <c r="FDL34" s="47"/>
      <c r="FDM34" s="47"/>
      <c r="FDN34" s="47"/>
      <c r="FDO34" s="47"/>
      <c r="FDP34" s="47"/>
      <c r="FDQ34" s="47"/>
      <c r="FDR34" s="47"/>
      <c r="FDS34" s="47"/>
      <c r="FDT34" s="47"/>
      <c r="FDU34" s="47"/>
      <c r="FDV34" s="47"/>
      <c r="FDW34" s="47"/>
      <c r="FDX34" s="47"/>
      <c r="FDY34" s="47"/>
      <c r="FDZ34" s="47"/>
      <c r="FEA34" s="47"/>
      <c r="FEB34" s="47"/>
      <c r="FEC34" s="47"/>
      <c r="FED34" s="47"/>
      <c r="FEE34" s="47"/>
      <c r="FEF34" s="47"/>
      <c r="FEG34" s="47"/>
      <c r="FEH34" s="47"/>
      <c r="FEI34" s="47"/>
      <c r="FEJ34" s="47"/>
      <c r="FEK34" s="47"/>
      <c r="FEL34" s="47"/>
      <c r="FEM34" s="47"/>
      <c r="FEN34" s="47"/>
      <c r="FEO34" s="47"/>
      <c r="FEP34" s="47"/>
      <c r="FEQ34" s="47"/>
      <c r="FER34" s="47"/>
      <c r="FES34" s="47"/>
      <c r="FET34" s="47"/>
      <c r="FEU34" s="47"/>
      <c r="FEV34" s="47"/>
      <c r="FEW34" s="47"/>
      <c r="FEX34" s="47"/>
      <c r="FEY34" s="47"/>
      <c r="FEZ34" s="47"/>
      <c r="FFA34" s="47"/>
      <c r="FFB34" s="47"/>
      <c r="FFC34" s="47"/>
      <c r="FFD34" s="47"/>
      <c r="FFE34" s="47"/>
      <c r="FFF34" s="47"/>
      <c r="FFG34" s="47"/>
      <c r="FFH34" s="47"/>
      <c r="FFI34" s="47"/>
      <c r="FFJ34" s="47"/>
      <c r="FFK34" s="47"/>
      <c r="FFL34" s="47"/>
      <c r="FFM34" s="47"/>
      <c r="FFN34" s="47"/>
      <c r="FFO34" s="47"/>
      <c r="FFP34" s="47"/>
      <c r="FFQ34" s="47"/>
      <c r="FFR34" s="47"/>
      <c r="FFS34" s="47"/>
      <c r="FFT34" s="47"/>
      <c r="FFU34" s="47"/>
      <c r="FFV34" s="47"/>
      <c r="FFW34" s="47"/>
      <c r="FFX34" s="47"/>
      <c r="FFY34" s="47"/>
      <c r="FFZ34" s="47"/>
      <c r="FGA34" s="47"/>
      <c r="FGB34" s="47"/>
      <c r="FGC34" s="47"/>
      <c r="FGD34" s="47"/>
      <c r="FGE34" s="47"/>
      <c r="FGF34" s="47"/>
      <c r="FGG34" s="47"/>
      <c r="FGH34" s="47"/>
      <c r="FGI34" s="47"/>
      <c r="FGJ34" s="47"/>
      <c r="FGK34" s="47"/>
      <c r="FGL34" s="47"/>
      <c r="FGM34" s="47"/>
      <c r="FGN34" s="47"/>
      <c r="FGO34" s="47"/>
      <c r="FGP34" s="47"/>
      <c r="FGQ34" s="47"/>
      <c r="FGR34" s="47"/>
      <c r="FGS34" s="47"/>
      <c r="FGT34" s="47"/>
      <c r="FGU34" s="47"/>
      <c r="FGV34" s="47"/>
      <c r="FGW34" s="47"/>
      <c r="FGX34" s="47"/>
      <c r="FGY34" s="47"/>
      <c r="FGZ34" s="47"/>
      <c r="FHA34" s="47"/>
      <c r="FHB34" s="47"/>
      <c r="FHC34" s="47"/>
      <c r="FHD34" s="47"/>
      <c r="FHE34" s="47"/>
      <c r="FHF34" s="47"/>
      <c r="FHG34" s="47"/>
      <c r="FHH34" s="47"/>
      <c r="FHI34" s="47"/>
      <c r="FHJ34" s="47"/>
      <c r="FHK34" s="47"/>
      <c r="FHL34" s="47"/>
      <c r="FHM34" s="47"/>
      <c r="FHN34" s="47"/>
      <c r="FHO34" s="47"/>
      <c r="FHP34" s="47"/>
      <c r="FHQ34" s="47"/>
      <c r="FHR34" s="47"/>
      <c r="FHS34" s="47"/>
      <c r="FHT34" s="47"/>
      <c r="FHU34" s="47"/>
      <c r="FHV34" s="47"/>
      <c r="FHW34" s="47"/>
      <c r="FHX34" s="47"/>
      <c r="FHY34" s="47"/>
      <c r="FHZ34" s="47"/>
      <c r="FIA34" s="47"/>
      <c r="FIB34" s="47"/>
      <c r="FIC34" s="47"/>
      <c r="FID34" s="47"/>
      <c r="FIE34" s="47"/>
      <c r="FIF34" s="47"/>
      <c r="FIG34" s="47"/>
      <c r="FIH34" s="47"/>
      <c r="FII34" s="47"/>
      <c r="FIJ34" s="47"/>
      <c r="FIK34" s="47"/>
      <c r="FIL34" s="47"/>
      <c r="FIM34" s="47"/>
      <c r="FIN34" s="47"/>
      <c r="FIO34" s="47"/>
      <c r="FIP34" s="47"/>
      <c r="FIQ34" s="47"/>
      <c r="FIR34" s="47"/>
      <c r="FIS34" s="47"/>
      <c r="FIT34" s="47"/>
      <c r="FIU34" s="47"/>
      <c r="FIV34" s="47"/>
      <c r="FIW34" s="47"/>
      <c r="FIX34" s="47"/>
      <c r="FIY34" s="47"/>
      <c r="FIZ34" s="47"/>
      <c r="FJA34" s="47"/>
      <c r="FJB34" s="47"/>
      <c r="FJC34" s="47"/>
      <c r="FJD34" s="47"/>
      <c r="FJE34" s="47"/>
      <c r="FJF34" s="47"/>
      <c r="FJG34" s="47"/>
      <c r="FJH34" s="47"/>
      <c r="FJI34" s="47"/>
      <c r="FJJ34" s="47"/>
      <c r="FJK34" s="47"/>
      <c r="FJL34" s="47"/>
      <c r="FJM34" s="47"/>
      <c r="FJN34" s="47"/>
      <c r="FJO34" s="47"/>
      <c r="FJP34" s="47"/>
      <c r="FJQ34" s="47"/>
      <c r="FJR34" s="47"/>
      <c r="FJS34" s="47"/>
      <c r="FJT34" s="47"/>
      <c r="FJU34" s="47"/>
      <c r="FJV34" s="47"/>
      <c r="FJW34" s="47"/>
      <c r="FJX34" s="47"/>
      <c r="FJY34" s="47"/>
      <c r="FJZ34" s="47"/>
      <c r="FKA34" s="47"/>
      <c r="FKB34" s="47"/>
      <c r="FKC34" s="47"/>
      <c r="FKD34" s="47"/>
      <c r="FKE34" s="47"/>
      <c r="FKF34" s="47"/>
      <c r="FKG34" s="47"/>
      <c r="FKH34" s="47"/>
      <c r="FKI34" s="47"/>
      <c r="FKJ34" s="47"/>
      <c r="FKK34" s="47"/>
      <c r="FKL34" s="47"/>
      <c r="FKM34" s="47"/>
      <c r="FKN34" s="47"/>
      <c r="FKO34" s="47"/>
      <c r="FKP34" s="47"/>
      <c r="FKQ34" s="47"/>
      <c r="FKR34" s="47"/>
      <c r="FKS34" s="47"/>
      <c r="FKT34" s="47"/>
      <c r="FKU34" s="47"/>
      <c r="FKV34" s="47"/>
      <c r="FKW34" s="47"/>
      <c r="FKX34" s="47"/>
      <c r="FKY34" s="47"/>
      <c r="FKZ34" s="47"/>
      <c r="FLA34" s="47"/>
      <c r="FLB34" s="47"/>
      <c r="FLC34" s="47"/>
      <c r="FLD34" s="47"/>
      <c r="FLE34" s="47"/>
      <c r="FLF34" s="47"/>
      <c r="FLG34" s="47"/>
      <c r="FLH34" s="47"/>
      <c r="FLI34" s="47"/>
      <c r="FLJ34" s="47"/>
      <c r="FLK34" s="47"/>
      <c r="FLL34" s="47"/>
      <c r="FLM34" s="47"/>
      <c r="FLN34" s="47"/>
      <c r="FLO34" s="47"/>
      <c r="FLP34" s="47"/>
      <c r="FLQ34" s="47"/>
      <c r="FLR34" s="47"/>
      <c r="FLS34" s="47"/>
      <c r="FLT34" s="47"/>
      <c r="FLU34" s="47"/>
      <c r="FLV34" s="47"/>
      <c r="FLW34" s="47"/>
      <c r="FLX34" s="47"/>
      <c r="FLY34" s="47"/>
      <c r="FLZ34" s="47"/>
      <c r="FMA34" s="47"/>
      <c r="FMB34" s="47"/>
      <c r="FMC34" s="47"/>
      <c r="FMD34" s="47"/>
      <c r="FME34" s="47"/>
      <c r="FMF34" s="47"/>
      <c r="FMG34" s="47"/>
      <c r="FMH34" s="47"/>
      <c r="FMI34" s="47"/>
      <c r="FMJ34" s="47"/>
      <c r="FMK34" s="47"/>
      <c r="FML34" s="47"/>
      <c r="FMM34" s="47"/>
      <c r="FMN34" s="47"/>
      <c r="FMO34" s="47"/>
      <c r="FMP34" s="47"/>
      <c r="FMQ34" s="47"/>
      <c r="FMR34" s="47"/>
      <c r="FMS34" s="47"/>
      <c r="FMT34" s="47"/>
      <c r="FMU34" s="47"/>
      <c r="FMV34" s="47"/>
      <c r="FMW34" s="47"/>
      <c r="FMX34" s="47"/>
      <c r="FMY34" s="47"/>
      <c r="FMZ34" s="47"/>
      <c r="FNA34" s="47"/>
      <c r="FNB34" s="47"/>
      <c r="FNC34" s="47"/>
      <c r="FND34" s="47"/>
      <c r="FNE34" s="47"/>
      <c r="FNF34" s="47"/>
      <c r="FNG34" s="47"/>
      <c r="FNH34" s="47"/>
      <c r="FNI34" s="47"/>
      <c r="FNJ34" s="47"/>
      <c r="FNK34" s="47"/>
      <c r="FNL34" s="47"/>
      <c r="FNM34" s="47"/>
      <c r="FNN34" s="47"/>
      <c r="FNO34" s="47"/>
      <c r="FNP34" s="47"/>
      <c r="FNQ34" s="47"/>
      <c r="FNR34" s="47"/>
      <c r="FNS34" s="47"/>
      <c r="FNT34" s="47"/>
      <c r="FNU34" s="47"/>
      <c r="FNV34" s="47"/>
      <c r="FNW34" s="47"/>
      <c r="FNX34" s="47"/>
      <c r="FNY34" s="47"/>
      <c r="FNZ34" s="47"/>
      <c r="FOA34" s="47"/>
      <c r="FOB34" s="47"/>
      <c r="FOC34" s="47"/>
      <c r="FOD34" s="47"/>
      <c r="FOE34" s="47"/>
      <c r="FOF34" s="47"/>
      <c r="FOG34" s="47"/>
      <c r="FOH34" s="47"/>
      <c r="FOI34" s="47"/>
      <c r="FOJ34" s="47"/>
      <c r="FOK34" s="47"/>
      <c r="FOL34" s="47"/>
      <c r="FOM34" s="47"/>
      <c r="FON34" s="47"/>
      <c r="FOO34" s="47"/>
      <c r="FOP34" s="47"/>
      <c r="FOQ34" s="47"/>
      <c r="FOR34" s="47"/>
      <c r="FOS34" s="47"/>
      <c r="FOT34" s="47"/>
      <c r="FOU34" s="47"/>
      <c r="FOV34" s="47"/>
      <c r="FOW34" s="47"/>
      <c r="FOX34" s="47"/>
      <c r="FOY34" s="47"/>
      <c r="FOZ34" s="47"/>
      <c r="FPA34" s="47"/>
      <c r="FPB34" s="47"/>
      <c r="FPC34" s="47"/>
      <c r="FPD34" s="47"/>
      <c r="FPE34" s="47"/>
      <c r="FPF34" s="47"/>
      <c r="FPG34" s="47"/>
      <c r="FPH34" s="47"/>
      <c r="FPI34" s="47"/>
      <c r="FPJ34" s="47"/>
      <c r="FPK34" s="47"/>
      <c r="FPL34" s="47"/>
      <c r="FPM34" s="47"/>
      <c r="FPN34" s="47"/>
      <c r="FPO34" s="47"/>
      <c r="FPP34" s="47"/>
      <c r="FPQ34" s="47"/>
      <c r="FPR34" s="47"/>
      <c r="FPS34" s="47"/>
      <c r="FPT34" s="47"/>
      <c r="FPU34" s="47"/>
      <c r="FPV34" s="47"/>
      <c r="FPW34" s="47"/>
      <c r="FPX34" s="47"/>
      <c r="FPY34" s="47"/>
      <c r="FPZ34" s="47"/>
      <c r="FQA34" s="47"/>
      <c r="FQB34" s="47"/>
      <c r="FQC34" s="47"/>
      <c r="FQD34" s="47"/>
      <c r="FQE34" s="47"/>
      <c r="FQF34" s="47"/>
      <c r="FQG34" s="47"/>
      <c r="FQH34" s="47"/>
      <c r="FQI34" s="47"/>
      <c r="FQJ34" s="47"/>
      <c r="FQK34" s="47"/>
      <c r="FQL34" s="47"/>
      <c r="FQM34" s="47"/>
      <c r="FQN34" s="47"/>
      <c r="FQO34" s="47"/>
      <c r="FQP34" s="47"/>
      <c r="FQQ34" s="47"/>
      <c r="FQR34" s="47"/>
      <c r="FQS34" s="47"/>
      <c r="FQT34" s="47"/>
      <c r="FQU34" s="47"/>
      <c r="FQV34" s="47"/>
      <c r="FQW34" s="47"/>
      <c r="FQX34" s="47"/>
      <c r="FQY34" s="47"/>
      <c r="FQZ34" s="47"/>
      <c r="FRA34" s="47"/>
      <c r="FRB34" s="47"/>
      <c r="FRC34" s="47"/>
      <c r="FRD34" s="47"/>
      <c r="FRE34" s="47"/>
      <c r="FRF34" s="47"/>
      <c r="FRG34" s="47"/>
      <c r="FRH34" s="47"/>
      <c r="FRI34" s="47"/>
      <c r="FRJ34" s="47"/>
      <c r="FRK34" s="47"/>
      <c r="FRL34" s="47"/>
      <c r="FRM34" s="47"/>
      <c r="FRN34" s="47"/>
      <c r="FRO34" s="47"/>
      <c r="FRP34" s="47"/>
      <c r="FRQ34" s="47"/>
      <c r="FRR34" s="47"/>
      <c r="FRS34" s="47"/>
      <c r="FRT34" s="47"/>
      <c r="FRU34" s="47"/>
      <c r="FRV34" s="47"/>
      <c r="FRW34" s="47"/>
      <c r="FRX34" s="47"/>
      <c r="FRY34" s="47"/>
      <c r="FRZ34" s="47"/>
      <c r="FSA34" s="47"/>
      <c r="FSB34" s="47"/>
      <c r="FSC34" s="47"/>
      <c r="FSD34" s="47"/>
      <c r="FSE34" s="47"/>
      <c r="FSF34" s="47"/>
      <c r="FSG34" s="47"/>
      <c r="FSH34" s="47"/>
      <c r="FSI34" s="47"/>
      <c r="FSJ34" s="47"/>
      <c r="FSK34" s="47"/>
      <c r="FSL34" s="47"/>
      <c r="FSM34" s="47"/>
      <c r="FSN34" s="47"/>
      <c r="FSO34" s="47"/>
      <c r="FSP34" s="47"/>
      <c r="FSQ34" s="47"/>
      <c r="FSR34" s="47"/>
      <c r="FSS34" s="47"/>
      <c r="FST34" s="47"/>
      <c r="FSU34" s="47"/>
      <c r="FSV34" s="47"/>
      <c r="FSW34" s="47"/>
      <c r="FSX34" s="47"/>
      <c r="FSY34" s="47"/>
      <c r="FSZ34" s="47"/>
      <c r="FTA34" s="47"/>
      <c r="FTB34" s="47"/>
      <c r="FTC34" s="47"/>
      <c r="FTD34" s="47"/>
      <c r="FTE34" s="47"/>
      <c r="FTF34" s="47"/>
      <c r="FTG34" s="47"/>
      <c r="FTH34" s="47"/>
      <c r="FTI34" s="47"/>
      <c r="FTJ34" s="47"/>
      <c r="FTK34" s="47"/>
      <c r="FTL34" s="47"/>
      <c r="FTM34" s="47"/>
      <c r="FTN34" s="47"/>
      <c r="FTO34" s="47"/>
      <c r="FTP34" s="47"/>
      <c r="FTQ34" s="47"/>
      <c r="FTR34" s="47"/>
      <c r="FTS34" s="47"/>
      <c r="FTT34" s="47"/>
      <c r="FTU34" s="47"/>
      <c r="FTV34" s="47"/>
      <c r="FTW34" s="47"/>
      <c r="FTX34" s="47"/>
      <c r="FTY34" s="47"/>
      <c r="FTZ34" s="47"/>
      <c r="FUA34" s="47"/>
      <c r="FUB34" s="47"/>
      <c r="FUC34" s="47"/>
      <c r="FUD34" s="47"/>
      <c r="FUE34" s="47"/>
      <c r="FUF34" s="47"/>
      <c r="FUG34" s="47"/>
      <c r="FUH34" s="47"/>
      <c r="FUI34" s="47"/>
      <c r="FUJ34" s="47"/>
      <c r="FUK34" s="47"/>
      <c r="FUL34" s="47"/>
      <c r="FUM34" s="47"/>
      <c r="FUN34" s="47"/>
      <c r="FUO34" s="47"/>
      <c r="FUP34" s="47"/>
      <c r="FUQ34" s="47"/>
      <c r="FUR34" s="47"/>
      <c r="FUS34" s="47"/>
      <c r="FUT34" s="47"/>
      <c r="FUU34" s="47"/>
      <c r="FUV34" s="47"/>
      <c r="FUW34" s="47"/>
      <c r="FUX34" s="47"/>
      <c r="FUY34" s="47"/>
      <c r="FUZ34" s="47"/>
      <c r="FVA34" s="47"/>
      <c r="FVB34" s="47"/>
      <c r="FVC34" s="47"/>
      <c r="FVD34" s="47"/>
      <c r="FVE34" s="47"/>
      <c r="FVF34" s="47"/>
      <c r="FVG34" s="47"/>
      <c r="FVH34" s="47"/>
      <c r="FVI34" s="47"/>
      <c r="FVJ34" s="47"/>
      <c r="FVK34" s="47"/>
      <c r="FVL34" s="47"/>
      <c r="FVM34" s="47"/>
      <c r="FVN34" s="47"/>
      <c r="FVO34" s="47"/>
      <c r="FVP34" s="47"/>
      <c r="FVQ34" s="47"/>
      <c r="FVR34" s="47"/>
      <c r="FVS34" s="47"/>
      <c r="FVT34" s="47"/>
      <c r="FVU34" s="47"/>
      <c r="FVV34" s="47"/>
      <c r="FVW34" s="47"/>
      <c r="FVX34" s="47"/>
      <c r="FVY34" s="47"/>
      <c r="FVZ34" s="47"/>
      <c r="FWA34" s="47"/>
      <c r="FWB34" s="47"/>
      <c r="FWC34" s="47"/>
      <c r="FWD34" s="47"/>
      <c r="FWE34" s="47"/>
      <c r="FWF34" s="47"/>
      <c r="FWG34" s="47"/>
      <c r="FWH34" s="47"/>
      <c r="FWI34" s="47"/>
      <c r="FWJ34" s="47"/>
      <c r="FWK34" s="47"/>
      <c r="FWL34" s="47"/>
      <c r="FWM34" s="47"/>
      <c r="FWN34" s="47"/>
      <c r="FWO34" s="47"/>
      <c r="FWP34" s="47"/>
      <c r="FWQ34" s="47"/>
      <c r="FWR34" s="47"/>
      <c r="FWS34" s="47"/>
      <c r="FWT34" s="47"/>
      <c r="FWU34" s="47"/>
      <c r="FWV34" s="47"/>
      <c r="FWW34" s="47"/>
      <c r="FWX34" s="47"/>
      <c r="FWY34" s="47"/>
      <c r="FWZ34" s="47"/>
      <c r="FXA34" s="47"/>
      <c r="FXB34" s="47"/>
      <c r="FXC34" s="47"/>
      <c r="FXD34" s="47"/>
      <c r="FXE34" s="47"/>
      <c r="FXF34" s="47"/>
      <c r="FXG34" s="47"/>
      <c r="FXH34" s="47"/>
      <c r="FXI34" s="47"/>
      <c r="FXJ34" s="47"/>
      <c r="FXK34" s="47"/>
      <c r="FXL34" s="47"/>
      <c r="FXM34" s="47"/>
      <c r="FXN34" s="47"/>
      <c r="FXO34" s="47"/>
      <c r="FXP34" s="47"/>
      <c r="FXQ34" s="47"/>
      <c r="FXR34" s="47"/>
      <c r="FXS34" s="47"/>
      <c r="FXT34" s="47"/>
      <c r="FXU34" s="47"/>
      <c r="FXV34" s="47"/>
      <c r="FXW34" s="47"/>
      <c r="FXX34" s="47"/>
      <c r="FXY34" s="47"/>
      <c r="FXZ34" s="47"/>
      <c r="FYA34" s="47"/>
      <c r="FYB34" s="47"/>
      <c r="FYC34" s="47"/>
      <c r="FYD34" s="47"/>
      <c r="FYE34" s="47"/>
      <c r="FYF34" s="47"/>
      <c r="FYG34" s="47"/>
      <c r="FYH34" s="47"/>
      <c r="FYI34" s="47"/>
      <c r="FYJ34" s="47"/>
      <c r="FYK34" s="47"/>
      <c r="FYL34" s="47"/>
      <c r="FYM34" s="47"/>
      <c r="FYN34" s="47"/>
      <c r="FYO34" s="47"/>
      <c r="FYP34" s="47"/>
      <c r="FYQ34" s="47"/>
      <c r="FYR34" s="47"/>
      <c r="FYS34" s="47"/>
      <c r="FYT34" s="47"/>
      <c r="FYU34" s="47"/>
      <c r="FYV34" s="47"/>
      <c r="FYW34" s="47"/>
      <c r="FYX34" s="47"/>
      <c r="FYY34" s="47"/>
      <c r="FYZ34" s="47"/>
      <c r="FZA34" s="47"/>
      <c r="FZB34" s="47"/>
      <c r="FZC34" s="47"/>
      <c r="FZD34" s="47"/>
      <c r="FZE34" s="47"/>
      <c r="FZF34" s="47"/>
      <c r="FZG34" s="47"/>
      <c r="FZH34" s="47"/>
      <c r="FZI34" s="47"/>
      <c r="FZJ34" s="47"/>
      <c r="FZK34" s="47"/>
      <c r="FZL34" s="47"/>
      <c r="FZM34" s="47"/>
      <c r="FZN34" s="47"/>
      <c r="FZO34" s="47"/>
      <c r="FZP34" s="47"/>
      <c r="FZQ34" s="47"/>
      <c r="FZR34" s="47"/>
      <c r="FZS34" s="47"/>
      <c r="FZT34" s="47"/>
      <c r="FZU34" s="47"/>
      <c r="FZV34" s="47"/>
      <c r="FZW34" s="47"/>
      <c r="FZX34" s="47"/>
      <c r="FZY34" s="47"/>
      <c r="FZZ34" s="47"/>
      <c r="GAA34" s="47"/>
      <c r="GAB34" s="47"/>
      <c r="GAC34" s="47"/>
      <c r="GAD34" s="47"/>
      <c r="GAE34" s="47"/>
      <c r="GAF34" s="47"/>
      <c r="GAG34" s="47"/>
      <c r="GAH34" s="47"/>
      <c r="GAI34" s="47"/>
      <c r="GAJ34" s="47"/>
      <c r="GAK34" s="47"/>
      <c r="GAL34" s="47"/>
      <c r="GAM34" s="47"/>
      <c r="GAN34" s="47"/>
      <c r="GAO34" s="47"/>
      <c r="GAP34" s="47"/>
      <c r="GAQ34" s="47"/>
      <c r="GAR34" s="47"/>
      <c r="GAS34" s="47"/>
      <c r="GAT34" s="47"/>
      <c r="GAU34" s="47"/>
      <c r="GAV34" s="47"/>
      <c r="GAW34" s="47"/>
      <c r="GAX34" s="47"/>
      <c r="GAY34" s="47"/>
      <c r="GAZ34" s="47"/>
      <c r="GBA34" s="47"/>
      <c r="GBB34" s="47"/>
      <c r="GBC34" s="47"/>
      <c r="GBD34" s="47"/>
      <c r="GBE34" s="47"/>
      <c r="GBF34" s="47"/>
      <c r="GBG34" s="47"/>
      <c r="GBH34" s="47"/>
      <c r="GBI34" s="47"/>
      <c r="GBJ34" s="47"/>
      <c r="GBK34" s="47"/>
      <c r="GBL34" s="47"/>
      <c r="GBM34" s="47"/>
      <c r="GBN34" s="47"/>
      <c r="GBO34" s="47"/>
      <c r="GBP34" s="47"/>
      <c r="GBQ34" s="47"/>
      <c r="GBR34" s="47"/>
      <c r="GBS34" s="47"/>
      <c r="GBT34" s="47"/>
      <c r="GBU34" s="47"/>
      <c r="GBV34" s="47"/>
      <c r="GBW34" s="47"/>
      <c r="GBX34" s="47"/>
      <c r="GBY34" s="47"/>
      <c r="GBZ34" s="47"/>
      <c r="GCA34" s="47"/>
      <c r="GCB34" s="47"/>
      <c r="GCC34" s="47"/>
      <c r="GCD34" s="47"/>
      <c r="GCE34" s="47"/>
      <c r="GCF34" s="47"/>
      <c r="GCG34" s="47"/>
      <c r="GCH34" s="47"/>
      <c r="GCI34" s="47"/>
      <c r="GCJ34" s="47"/>
      <c r="GCK34" s="47"/>
      <c r="GCL34" s="47"/>
      <c r="GCM34" s="47"/>
      <c r="GCN34" s="47"/>
      <c r="GCO34" s="47"/>
      <c r="GCP34" s="47"/>
      <c r="GCQ34" s="47"/>
      <c r="GCR34" s="47"/>
      <c r="GCS34" s="47"/>
      <c r="GCT34" s="47"/>
      <c r="GCU34" s="47"/>
      <c r="GCV34" s="47"/>
      <c r="GCW34" s="47"/>
      <c r="GCX34" s="47"/>
      <c r="GCY34" s="47"/>
      <c r="GCZ34" s="47"/>
      <c r="GDA34" s="47"/>
      <c r="GDB34" s="47"/>
      <c r="GDC34" s="47"/>
      <c r="GDD34" s="47"/>
      <c r="GDE34" s="47"/>
      <c r="GDF34" s="47"/>
      <c r="GDG34" s="47"/>
      <c r="GDH34" s="47"/>
      <c r="GDI34" s="47"/>
      <c r="GDJ34" s="47"/>
      <c r="GDK34" s="47"/>
      <c r="GDL34" s="47"/>
      <c r="GDM34" s="47"/>
      <c r="GDN34" s="47"/>
      <c r="GDO34" s="47"/>
      <c r="GDP34" s="47"/>
      <c r="GDQ34" s="47"/>
      <c r="GDR34" s="47"/>
      <c r="GDS34" s="47"/>
      <c r="GDT34" s="47"/>
      <c r="GDU34" s="47"/>
      <c r="GDV34" s="47"/>
      <c r="GDW34" s="47"/>
      <c r="GDX34" s="47"/>
      <c r="GDY34" s="47"/>
      <c r="GDZ34" s="47"/>
      <c r="GEA34" s="47"/>
      <c r="GEB34" s="47"/>
      <c r="GEC34" s="47"/>
      <c r="GED34" s="47"/>
      <c r="GEE34" s="47"/>
      <c r="GEF34" s="47"/>
      <c r="GEG34" s="47"/>
      <c r="GEH34" s="47"/>
      <c r="GEI34" s="47"/>
      <c r="GEJ34" s="47"/>
      <c r="GEK34" s="47"/>
      <c r="GEL34" s="47"/>
      <c r="GEM34" s="47"/>
      <c r="GEN34" s="47"/>
      <c r="GEO34" s="47"/>
      <c r="GEP34" s="47"/>
      <c r="GEQ34" s="47"/>
      <c r="GER34" s="47"/>
      <c r="GES34" s="47"/>
      <c r="GET34" s="47"/>
      <c r="GEU34" s="47"/>
      <c r="GEV34" s="47"/>
      <c r="GEW34" s="47"/>
      <c r="GEX34" s="47"/>
      <c r="GEY34" s="47"/>
      <c r="GEZ34" s="47"/>
      <c r="GFA34" s="47"/>
      <c r="GFB34" s="47"/>
      <c r="GFC34" s="47"/>
      <c r="GFD34" s="47"/>
      <c r="GFE34" s="47"/>
      <c r="GFF34" s="47"/>
      <c r="GFG34" s="47"/>
      <c r="GFH34" s="47"/>
      <c r="GFI34" s="47"/>
      <c r="GFJ34" s="47"/>
      <c r="GFK34" s="47"/>
      <c r="GFL34" s="47"/>
      <c r="GFM34" s="47"/>
      <c r="GFN34" s="47"/>
      <c r="GFO34" s="47"/>
      <c r="GFP34" s="47"/>
      <c r="GFQ34" s="47"/>
      <c r="GFR34" s="47"/>
      <c r="GFS34" s="47"/>
      <c r="GFT34" s="47"/>
      <c r="GFU34" s="47"/>
      <c r="GFV34" s="47"/>
      <c r="GFW34" s="47"/>
      <c r="GFX34" s="47"/>
      <c r="GFY34" s="47"/>
      <c r="GFZ34" s="47"/>
      <c r="GGA34" s="47"/>
      <c r="GGB34" s="47"/>
      <c r="GGC34" s="47"/>
      <c r="GGD34" s="47"/>
      <c r="GGE34" s="47"/>
      <c r="GGF34" s="47"/>
      <c r="GGG34" s="47"/>
      <c r="GGH34" s="47"/>
      <c r="GGI34" s="47"/>
      <c r="GGJ34" s="47"/>
      <c r="GGK34" s="47"/>
      <c r="GGL34" s="47"/>
      <c r="GGM34" s="47"/>
      <c r="GGN34" s="47"/>
      <c r="GGO34" s="47"/>
      <c r="GGP34" s="47"/>
      <c r="GGQ34" s="47"/>
      <c r="GGR34" s="47"/>
      <c r="GGS34" s="47"/>
      <c r="GGT34" s="47"/>
      <c r="GGU34" s="47"/>
      <c r="GGV34" s="47"/>
      <c r="GGW34" s="47"/>
      <c r="GGX34" s="47"/>
      <c r="GGY34" s="47"/>
      <c r="GGZ34" s="47"/>
      <c r="GHA34" s="47"/>
      <c r="GHB34" s="47"/>
      <c r="GHC34" s="47"/>
      <c r="GHD34" s="47"/>
      <c r="GHE34" s="47"/>
      <c r="GHF34" s="47"/>
      <c r="GHG34" s="47"/>
      <c r="GHH34" s="47"/>
      <c r="GHI34" s="47"/>
      <c r="GHJ34" s="47"/>
      <c r="GHK34" s="47"/>
      <c r="GHL34" s="47"/>
      <c r="GHM34" s="47"/>
      <c r="GHN34" s="47"/>
      <c r="GHO34" s="47"/>
      <c r="GHP34" s="47"/>
      <c r="GHQ34" s="47"/>
      <c r="GHR34" s="47"/>
      <c r="GHS34" s="47"/>
      <c r="GHT34" s="47"/>
      <c r="GHU34" s="47"/>
      <c r="GHV34" s="47"/>
      <c r="GHW34" s="47"/>
      <c r="GHX34" s="47"/>
      <c r="GHY34" s="47"/>
      <c r="GHZ34" s="47"/>
      <c r="GIA34" s="47"/>
      <c r="GIB34" s="47"/>
      <c r="GIC34" s="47"/>
      <c r="GID34" s="47"/>
      <c r="GIE34" s="47"/>
      <c r="GIF34" s="47"/>
      <c r="GIG34" s="47"/>
      <c r="GIH34" s="47"/>
      <c r="GII34" s="47"/>
      <c r="GIJ34" s="47"/>
      <c r="GIK34" s="47"/>
      <c r="GIL34" s="47"/>
      <c r="GIM34" s="47"/>
      <c r="GIN34" s="47"/>
      <c r="GIO34" s="47"/>
      <c r="GIP34" s="47"/>
      <c r="GIQ34" s="47"/>
      <c r="GIR34" s="47"/>
      <c r="GIS34" s="47"/>
      <c r="GIT34" s="47"/>
      <c r="GIU34" s="47"/>
      <c r="GIV34" s="47"/>
      <c r="GIW34" s="47"/>
      <c r="GIX34" s="47"/>
      <c r="GIY34" s="47"/>
      <c r="GIZ34" s="47"/>
      <c r="GJA34" s="47"/>
      <c r="GJB34" s="47"/>
      <c r="GJC34" s="47"/>
      <c r="GJD34" s="47"/>
      <c r="GJE34" s="47"/>
      <c r="GJF34" s="47"/>
      <c r="GJG34" s="47"/>
      <c r="GJH34" s="47"/>
      <c r="GJI34" s="47"/>
      <c r="GJJ34" s="47"/>
      <c r="GJK34" s="47"/>
      <c r="GJL34" s="47"/>
      <c r="GJM34" s="47"/>
      <c r="GJN34" s="47"/>
      <c r="GJO34" s="47"/>
      <c r="GJP34" s="47"/>
      <c r="GJQ34" s="47"/>
      <c r="GJR34" s="47"/>
      <c r="GJS34" s="47"/>
      <c r="GJT34" s="47"/>
      <c r="GJU34" s="47"/>
      <c r="GJV34" s="47"/>
      <c r="GJW34" s="47"/>
      <c r="GJX34" s="47"/>
      <c r="GJY34" s="47"/>
      <c r="GJZ34" s="47"/>
      <c r="GKA34" s="47"/>
      <c r="GKB34" s="47"/>
      <c r="GKC34" s="47"/>
      <c r="GKD34" s="47"/>
      <c r="GKE34" s="47"/>
      <c r="GKF34" s="47"/>
      <c r="GKG34" s="47"/>
      <c r="GKH34" s="47"/>
      <c r="GKI34" s="47"/>
      <c r="GKJ34" s="47"/>
      <c r="GKK34" s="47"/>
      <c r="GKL34" s="47"/>
      <c r="GKM34" s="47"/>
      <c r="GKN34" s="47"/>
      <c r="GKO34" s="47"/>
      <c r="GKP34" s="47"/>
      <c r="GKQ34" s="47"/>
      <c r="GKR34" s="47"/>
      <c r="GKS34" s="47"/>
      <c r="GKT34" s="47"/>
      <c r="GKU34" s="47"/>
      <c r="GKV34" s="47"/>
      <c r="GKW34" s="47"/>
      <c r="GKX34" s="47"/>
      <c r="GKY34" s="47"/>
      <c r="GKZ34" s="47"/>
      <c r="GLA34" s="47"/>
      <c r="GLB34" s="47"/>
      <c r="GLC34" s="47"/>
      <c r="GLD34" s="47"/>
      <c r="GLE34" s="47"/>
      <c r="GLF34" s="47"/>
      <c r="GLG34" s="47"/>
      <c r="GLH34" s="47"/>
      <c r="GLI34" s="47"/>
      <c r="GLJ34" s="47"/>
      <c r="GLK34" s="47"/>
      <c r="GLL34" s="47"/>
      <c r="GLM34" s="47"/>
      <c r="GLN34" s="47"/>
      <c r="GLO34" s="47"/>
      <c r="GLP34" s="47"/>
      <c r="GLQ34" s="47"/>
      <c r="GLR34" s="47"/>
      <c r="GLS34" s="47"/>
      <c r="GLT34" s="47"/>
      <c r="GLU34" s="47"/>
      <c r="GLV34" s="47"/>
      <c r="GLW34" s="47"/>
      <c r="GLX34" s="47"/>
      <c r="GLY34" s="47"/>
      <c r="GLZ34" s="47"/>
      <c r="GMA34" s="47"/>
      <c r="GMB34" s="47"/>
      <c r="GMC34" s="47"/>
      <c r="GMD34" s="47"/>
      <c r="GME34" s="47"/>
      <c r="GMF34" s="47"/>
      <c r="GMG34" s="47"/>
      <c r="GMH34" s="47"/>
      <c r="GMI34" s="47"/>
      <c r="GMJ34" s="47"/>
      <c r="GMK34" s="47"/>
      <c r="GML34" s="47"/>
      <c r="GMM34" s="47"/>
      <c r="GMN34" s="47"/>
      <c r="GMO34" s="47"/>
      <c r="GMP34" s="47"/>
      <c r="GMQ34" s="47"/>
      <c r="GMR34" s="47"/>
      <c r="GMS34" s="47"/>
      <c r="GMT34" s="47"/>
      <c r="GMU34" s="47"/>
      <c r="GMV34" s="47"/>
      <c r="GMW34" s="47"/>
      <c r="GMX34" s="47"/>
      <c r="GMY34" s="47"/>
      <c r="GMZ34" s="47"/>
      <c r="GNA34" s="47"/>
      <c r="GNB34" s="47"/>
      <c r="GNC34" s="47"/>
      <c r="GND34" s="47"/>
      <c r="GNE34" s="47"/>
      <c r="GNF34" s="47"/>
      <c r="GNG34" s="47"/>
      <c r="GNH34" s="47"/>
      <c r="GNI34" s="47"/>
      <c r="GNJ34" s="47"/>
      <c r="GNK34" s="47"/>
      <c r="GNL34" s="47"/>
      <c r="GNM34" s="47"/>
      <c r="GNN34" s="47"/>
      <c r="GNO34" s="47"/>
      <c r="GNP34" s="47"/>
      <c r="GNQ34" s="47"/>
      <c r="GNR34" s="47"/>
      <c r="GNS34" s="47"/>
      <c r="GNT34" s="47"/>
      <c r="GNU34" s="47"/>
      <c r="GNV34" s="47"/>
      <c r="GNW34" s="47"/>
      <c r="GNX34" s="47"/>
      <c r="GNY34" s="47"/>
      <c r="GNZ34" s="47"/>
      <c r="GOA34" s="47"/>
      <c r="GOB34" s="47"/>
      <c r="GOC34" s="47"/>
      <c r="GOD34" s="47"/>
      <c r="GOE34" s="47"/>
      <c r="GOF34" s="47"/>
      <c r="GOG34" s="47"/>
      <c r="GOH34" s="47"/>
      <c r="GOI34" s="47"/>
      <c r="GOJ34" s="47"/>
      <c r="GOK34" s="47"/>
      <c r="GOL34" s="47"/>
      <c r="GOM34" s="47"/>
      <c r="GON34" s="47"/>
      <c r="GOO34" s="47"/>
      <c r="GOP34" s="47"/>
      <c r="GOQ34" s="47"/>
      <c r="GOR34" s="47"/>
      <c r="GOS34" s="47"/>
      <c r="GOT34" s="47"/>
      <c r="GOU34" s="47"/>
      <c r="GOV34" s="47"/>
      <c r="GOW34" s="47"/>
      <c r="GOX34" s="47"/>
      <c r="GOY34" s="47"/>
      <c r="GOZ34" s="47"/>
      <c r="GPA34" s="47"/>
      <c r="GPB34" s="47"/>
      <c r="GPC34" s="47"/>
      <c r="GPD34" s="47"/>
      <c r="GPE34" s="47"/>
      <c r="GPF34" s="47"/>
      <c r="GPG34" s="47"/>
      <c r="GPH34" s="47"/>
      <c r="GPI34" s="47"/>
      <c r="GPJ34" s="47"/>
      <c r="GPK34" s="47"/>
      <c r="GPL34" s="47"/>
      <c r="GPM34" s="47"/>
      <c r="GPN34" s="47"/>
      <c r="GPO34" s="47"/>
      <c r="GPP34" s="47"/>
      <c r="GPQ34" s="47"/>
      <c r="GPR34" s="47"/>
      <c r="GPS34" s="47"/>
      <c r="GPT34" s="47"/>
      <c r="GPU34" s="47"/>
      <c r="GPV34" s="47"/>
      <c r="GPW34" s="47"/>
      <c r="GPX34" s="47"/>
      <c r="GPY34" s="47"/>
      <c r="GPZ34" s="47"/>
      <c r="GQA34" s="47"/>
      <c r="GQB34" s="47"/>
      <c r="GQC34" s="47"/>
      <c r="GQD34" s="47"/>
      <c r="GQE34" s="47"/>
      <c r="GQF34" s="47"/>
      <c r="GQG34" s="47"/>
      <c r="GQH34" s="47"/>
      <c r="GQI34" s="47"/>
      <c r="GQJ34" s="47"/>
      <c r="GQK34" s="47"/>
      <c r="GQL34" s="47"/>
      <c r="GQM34" s="47"/>
      <c r="GQN34" s="47"/>
      <c r="GQO34" s="47"/>
      <c r="GQP34" s="47"/>
      <c r="GQQ34" s="47"/>
      <c r="GQR34" s="47"/>
      <c r="GQS34" s="47"/>
      <c r="GQT34" s="47"/>
      <c r="GQU34" s="47"/>
      <c r="GQV34" s="47"/>
      <c r="GQW34" s="47"/>
      <c r="GQX34" s="47"/>
      <c r="GQY34" s="47"/>
      <c r="GQZ34" s="47"/>
      <c r="GRA34" s="47"/>
      <c r="GRB34" s="47"/>
      <c r="GRC34" s="47"/>
      <c r="GRD34" s="47"/>
      <c r="GRE34" s="47"/>
      <c r="GRF34" s="47"/>
      <c r="GRG34" s="47"/>
      <c r="GRH34" s="47"/>
      <c r="GRI34" s="47"/>
      <c r="GRJ34" s="47"/>
      <c r="GRK34" s="47"/>
      <c r="GRL34" s="47"/>
      <c r="GRM34" s="47"/>
      <c r="GRN34" s="47"/>
      <c r="GRO34" s="47"/>
      <c r="GRP34" s="47"/>
      <c r="GRQ34" s="47"/>
      <c r="GRR34" s="47"/>
      <c r="GRS34" s="47"/>
      <c r="GRT34" s="47"/>
      <c r="GRU34" s="47"/>
      <c r="GRV34" s="47"/>
      <c r="GRW34" s="47"/>
      <c r="GRX34" s="47"/>
      <c r="GRY34" s="47"/>
      <c r="GRZ34" s="47"/>
      <c r="GSA34" s="47"/>
      <c r="GSB34" s="47"/>
      <c r="GSC34" s="47"/>
      <c r="GSD34" s="47"/>
      <c r="GSE34" s="47"/>
      <c r="GSF34" s="47"/>
      <c r="GSG34" s="47"/>
      <c r="GSH34" s="47"/>
      <c r="GSI34" s="47"/>
      <c r="GSJ34" s="47"/>
      <c r="GSK34" s="47"/>
      <c r="GSL34" s="47"/>
      <c r="GSM34" s="47"/>
      <c r="GSN34" s="47"/>
      <c r="GSO34" s="47"/>
      <c r="GSP34" s="47"/>
      <c r="GSQ34" s="47"/>
      <c r="GSR34" s="47"/>
      <c r="GSS34" s="47"/>
      <c r="GST34" s="47"/>
      <c r="GSU34" s="47"/>
      <c r="GSV34" s="47"/>
      <c r="GSW34" s="47"/>
      <c r="GSX34" s="47"/>
      <c r="GSY34" s="47"/>
      <c r="GSZ34" s="47"/>
      <c r="GTA34" s="47"/>
      <c r="GTB34" s="47"/>
      <c r="GTC34" s="47"/>
      <c r="GTD34" s="47"/>
      <c r="GTE34" s="47"/>
      <c r="GTF34" s="47"/>
      <c r="GTG34" s="47"/>
      <c r="GTH34" s="47"/>
      <c r="GTI34" s="47"/>
      <c r="GTJ34" s="47"/>
      <c r="GTK34" s="47"/>
      <c r="GTL34" s="47"/>
      <c r="GTM34" s="47"/>
      <c r="GTN34" s="47"/>
      <c r="GTO34" s="47"/>
      <c r="GTP34" s="47"/>
      <c r="GTQ34" s="47"/>
      <c r="GTR34" s="47"/>
      <c r="GTS34" s="47"/>
      <c r="GTT34" s="47"/>
      <c r="GTU34" s="47"/>
      <c r="GTV34" s="47"/>
      <c r="GTW34" s="47"/>
      <c r="GTX34" s="47"/>
      <c r="GTY34" s="47"/>
      <c r="GTZ34" s="47"/>
      <c r="GUA34" s="47"/>
      <c r="GUB34" s="47"/>
      <c r="GUC34" s="47"/>
      <c r="GUD34" s="47"/>
      <c r="GUE34" s="47"/>
      <c r="GUF34" s="47"/>
      <c r="GUG34" s="47"/>
      <c r="GUH34" s="47"/>
      <c r="GUI34" s="47"/>
      <c r="GUJ34" s="47"/>
      <c r="GUK34" s="47"/>
      <c r="GUL34" s="47"/>
      <c r="GUM34" s="47"/>
      <c r="GUN34" s="47"/>
      <c r="GUO34" s="47"/>
      <c r="GUP34" s="47"/>
      <c r="GUQ34" s="47"/>
      <c r="GUR34" s="47"/>
      <c r="GUS34" s="47"/>
      <c r="GUT34" s="47"/>
      <c r="GUU34" s="47"/>
      <c r="GUV34" s="47"/>
      <c r="GUW34" s="47"/>
      <c r="GUX34" s="47"/>
      <c r="GUY34" s="47"/>
      <c r="GUZ34" s="47"/>
      <c r="GVA34" s="47"/>
      <c r="GVB34" s="47"/>
      <c r="GVC34" s="47"/>
      <c r="GVD34" s="47"/>
      <c r="GVE34" s="47"/>
      <c r="GVF34" s="47"/>
      <c r="GVG34" s="47"/>
      <c r="GVH34" s="47"/>
      <c r="GVI34" s="47"/>
      <c r="GVJ34" s="47"/>
      <c r="GVK34" s="47"/>
      <c r="GVL34" s="47"/>
      <c r="GVM34" s="47"/>
      <c r="GVN34" s="47"/>
      <c r="GVO34" s="47"/>
      <c r="GVP34" s="47"/>
      <c r="GVQ34" s="47"/>
      <c r="GVR34" s="47"/>
      <c r="GVS34" s="47"/>
      <c r="GVT34" s="47"/>
      <c r="GVU34" s="47"/>
      <c r="GVV34" s="47"/>
      <c r="GVW34" s="47"/>
      <c r="GVX34" s="47"/>
      <c r="GVY34" s="47"/>
      <c r="GVZ34" s="47"/>
      <c r="GWA34" s="47"/>
      <c r="GWB34" s="47"/>
      <c r="GWC34" s="47"/>
      <c r="GWD34" s="47"/>
      <c r="GWE34" s="47"/>
      <c r="GWF34" s="47"/>
      <c r="GWG34" s="47"/>
      <c r="GWH34" s="47"/>
      <c r="GWI34" s="47"/>
      <c r="GWJ34" s="47"/>
      <c r="GWK34" s="47"/>
      <c r="GWL34" s="47"/>
      <c r="GWM34" s="47"/>
      <c r="GWN34" s="47"/>
      <c r="GWO34" s="47"/>
      <c r="GWP34" s="47"/>
      <c r="GWQ34" s="47"/>
      <c r="GWR34" s="47"/>
      <c r="GWS34" s="47"/>
      <c r="GWT34" s="47"/>
      <c r="GWU34" s="47"/>
      <c r="GWV34" s="47"/>
      <c r="GWW34" s="47"/>
      <c r="GWX34" s="47"/>
      <c r="GWY34" s="47"/>
      <c r="GWZ34" s="47"/>
      <c r="GXA34" s="47"/>
      <c r="GXB34" s="47"/>
      <c r="GXC34" s="47"/>
      <c r="GXD34" s="47"/>
      <c r="GXE34" s="47"/>
      <c r="GXF34" s="47"/>
      <c r="GXG34" s="47"/>
      <c r="GXH34" s="47"/>
      <c r="GXI34" s="47"/>
      <c r="GXJ34" s="47"/>
      <c r="GXK34" s="47"/>
      <c r="GXL34" s="47"/>
      <c r="GXM34" s="47"/>
      <c r="GXN34" s="47"/>
      <c r="GXO34" s="47"/>
      <c r="GXP34" s="47"/>
      <c r="GXQ34" s="47"/>
      <c r="GXR34" s="47"/>
      <c r="GXS34" s="47"/>
      <c r="GXT34" s="47"/>
      <c r="GXU34" s="47"/>
      <c r="GXV34" s="47"/>
      <c r="GXW34" s="47"/>
      <c r="GXX34" s="47"/>
      <c r="GXY34" s="47"/>
      <c r="GXZ34" s="47"/>
      <c r="GYA34" s="47"/>
      <c r="GYB34" s="47"/>
      <c r="GYC34" s="47"/>
      <c r="GYD34" s="47"/>
      <c r="GYE34" s="47"/>
      <c r="GYF34" s="47"/>
      <c r="GYG34" s="47"/>
      <c r="GYH34" s="47"/>
      <c r="GYI34" s="47"/>
      <c r="GYJ34" s="47"/>
      <c r="GYK34" s="47"/>
      <c r="GYL34" s="47"/>
      <c r="GYM34" s="47"/>
      <c r="GYN34" s="47"/>
      <c r="GYO34" s="47"/>
      <c r="GYP34" s="47"/>
      <c r="GYQ34" s="47"/>
      <c r="GYR34" s="47"/>
      <c r="GYS34" s="47"/>
      <c r="GYT34" s="47"/>
      <c r="GYU34" s="47"/>
      <c r="GYV34" s="47"/>
      <c r="GYW34" s="47"/>
      <c r="GYX34" s="47"/>
      <c r="GYY34" s="47"/>
      <c r="GYZ34" s="47"/>
      <c r="GZA34" s="47"/>
      <c r="GZB34" s="47"/>
      <c r="GZC34" s="47"/>
      <c r="GZD34" s="47"/>
      <c r="GZE34" s="47"/>
      <c r="GZF34" s="47"/>
      <c r="GZG34" s="47"/>
      <c r="GZH34" s="47"/>
      <c r="GZI34" s="47"/>
      <c r="GZJ34" s="47"/>
      <c r="GZK34" s="47"/>
      <c r="GZL34" s="47"/>
      <c r="GZM34" s="47"/>
      <c r="GZN34" s="47"/>
      <c r="GZO34" s="47"/>
      <c r="GZP34" s="47"/>
      <c r="GZQ34" s="47"/>
      <c r="GZR34" s="47"/>
      <c r="GZS34" s="47"/>
      <c r="GZT34" s="47"/>
      <c r="GZU34" s="47"/>
      <c r="GZV34" s="47"/>
      <c r="GZW34" s="47"/>
      <c r="GZX34" s="47"/>
      <c r="GZY34" s="47"/>
      <c r="GZZ34" s="47"/>
      <c r="HAA34" s="47"/>
      <c r="HAB34" s="47"/>
      <c r="HAC34" s="47"/>
      <c r="HAD34" s="47"/>
      <c r="HAE34" s="47"/>
      <c r="HAF34" s="47"/>
      <c r="HAG34" s="47"/>
      <c r="HAH34" s="47"/>
      <c r="HAI34" s="47"/>
      <c r="HAJ34" s="47"/>
      <c r="HAK34" s="47"/>
      <c r="HAL34" s="47"/>
      <c r="HAM34" s="47"/>
      <c r="HAN34" s="47"/>
      <c r="HAO34" s="47"/>
      <c r="HAP34" s="47"/>
      <c r="HAQ34" s="47"/>
      <c r="HAR34" s="47"/>
      <c r="HAS34" s="47"/>
      <c r="HAT34" s="47"/>
      <c r="HAU34" s="47"/>
      <c r="HAV34" s="47"/>
      <c r="HAW34" s="47"/>
      <c r="HAX34" s="47"/>
      <c r="HAY34" s="47"/>
      <c r="HAZ34" s="47"/>
      <c r="HBA34" s="47"/>
      <c r="HBB34" s="47"/>
      <c r="HBC34" s="47"/>
      <c r="HBD34" s="47"/>
      <c r="HBE34" s="47"/>
      <c r="HBF34" s="47"/>
      <c r="HBG34" s="47"/>
      <c r="HBH34" s="47"/>
      <c r="HBI34" s="47"/>
      <c r="HBJ34" s="47"/>
      <c r="HBK34" s="47"/>
      <c r="HBL34" s="47"/>
      <c r="HBM34" s="47"/>
      <c r="HBN34" s="47"/>
      <c r="HBO34" s="47"/>
      <c r="HBP34" s="47"/>
      <c r="HBQ34" s="47"/>
      <c r="HBR34" s="47"/>
      <c r="HBS34" s="47"/>
      <c r="HBT34" s="47"/>
      <c r="HBU34" s="47"/>
      <c r="HBV34" s="47"/>
      <c r="HBW34" s="47"/>
      <c r="HBX34" s="47"/>
      <c r="HBY34" s="47"/>
      <c r="HBZ34" s="47"/>
      <c r="HCA34" s="47"/>
      <c r="HCB34" s="47"/>
      <c r="HCC34" s="47"/>
      <c r="HCD34" s="47"/>
      <c r="HCE34" s="47"/>
      <c r="HCF34" s="47"/>
      <c r="HCG34" s="47"/>
      <c r="HCH34" s="47"/>
      <c r="HCI34" s="47"/>
      <c r="HCJ34" s="47"/>
      <c r="HCK34" s="47"/>
      <c r="HCL34" s="47"/>
      <c r="HCM34" s="47"/>
      <c r="HCN34" s="47"/>
      <c r="HCO34" s="47"/>
      <c r="HCP34" s="47"/>
      <c r="HCQ34" s="47"/>
      <c r="HCR34" s="47"/>
      <c r="HCS34" s="47"/>
      <c r="HCT34" s="47"/>
      <c r="HCU34" s="47"/>
      <c r="HCV34" s="47"/>
      <c r="HCW34" s="47"/>
      <c r="HCX34" s="47"/>
      <c r="HCY34" s="47"/>
      <c r="HCZ34" s="47"/>
      <c r="HDA34" s="47"/>
      <c r="HDB34" s="47"/>
      <c r="HDC34" s="47"/>
      <c r="HDD34" s="47"/>
      <c r="HDE34" s="47"/>
      <c r="HDF34" s="47"/>
      <c r="HDG34" s="47"/>
      <c r="HDH34" s="47"/>
      <c r="HDI34" s="47"/>
      <c r="HDJ34" s="47"/>
      <c r="HDK34" s="47"/>
      <c r="HDL34" s="47"/>
      <c r="HDM34" s="47"/>
      <c r="HDN34" s="47"/>
      <c r="HDO34" s="47"/>
      <c r="HDP34" s="47"/>
      <c r="HDQ34" s="47"/>
      <c r="HDR34" s="47"/>
      <c r="HDS34" s="47"/>
      <c r="HDT34" s="47"/>
      <c r="HDU34" s="47"/>
      <c r="HDV34" s="47"/>
      <c r="HDW34" s="47"/>
      <c r="HDX34" s="47"/>
      <c r="HDY34" s="47"/>
      <c r="HDZ34" s="47"/>
      <c r="HEA34" s="47"/>
      <c r="HEB34" s="47"/>
      <c r="HEC34" s="47"/>
      <c r="HED34" s="47"/>
      <c r="HEE34" s="47"/>
      <c r="HEF34" s="47"/>
      <c r="HEG34" s="47"/>
      <c r="HEH34" s="47"/>
      <c r="HEI34" s="47"/>
      <c r="HEJ34" s="47"/>
      <c r="HEK34" s="47"/>
      <c r="HEL34" s="47"/>
      <c r="HEM34" s="47"/>
      <c r="HEN34" s="47"/>
      <c r="HEO34" s="47"/>
      <c r="HEP34" s="47"/>
      <c r="HEQ34" s="47"/>
      <c r="HER34" s="47"/>
      <c r="HES34" s="47"/>
      <c r="HET34" s="47"/>
      <c r="HEU34" s="47"/>
      <c r="HEV34" s="47"/>
      <c r="HEW34" s="47"/>
      <c r="HEX34" s="47"/>
      <c r="HEY34" s="47"/>
      <c r="HEZ34" s="47"/>
      <c r="HFA34" s="47"/>
      <c r="HFB34" s="47"/>
      <c r="HFC34" s="47"/>
      <c r="HFD34" s="47"/>
      <c r="HFE34" s="47"/>
      <c r="HFF34" s="47"/>
      <c r="HFG34" s="47"/>
      <c r="HFH34" s="47"/>
      <c r="HFI34" s="47"/>
      <c r="HFJ34" s="47"/>
      <c r="HFK34" s="47"/>
      <c r="HFL34" s="47"/>
      <c r="HFM34" s="47"/>
      <c r="HFN34" s="47"/>
      <c r="HFO34" s="47"/>
      <c r="HFP34" s="47"/>
      <c r="HFQ34" s="47"/>
      <c r="HFR34" s="47"/>
      <c r="HFS34" s="47"/>
      <c r="HFT34" s="47"/>
      <c r="HFU34" s="47"/>
      <c r="HFV34" s="47"/>
      <c r="HFW34" s="47"/>
      <c r="HFX34" s="47"/>
      <c r="HFY34" s="47"/>
      <c r="HFZ34" s="47"/>
      <c r="HGA34" s="47"/>
      <c r="HGB34" s="47"/>
      <c r="HGC34" s="47"/>
      <c r="HGD34" s="47"/>
      <c r="HGE34" s="47"/>
      <c r="HGF34" s="47"/>
      <c r="HGG34" s="47"/>
      <c r="HGH34" s="47"/>
      <c r="HGI34" s="47"/>
      <c r="HGJ34" s="47"/>
      <c r="HGK34" s="47"/>
      <c r="HGL34" s="47"/>
      <c r="HGM34" s="47"/>
      <c r="HGN34" s="47"/>
      <c r="HGO34" s="47"/>
      <c r="HGP34" s="47"/>
      <c r="HGQ34" s="47"/>
      <c r="HGR34" s="47"/>
      <c r="HGS34" s="47"/>
      <c r="HGT34" s="47"/>
      <c r="HGU34" s="47"/>
      <c r="HGV34" s="47"/>
      <c r="HGW34" s="47"/>
      <c r="HGX34" s="47"/>
      <c r="HGY34" s="47"/>
      <c r="HGZ34" s="47"/>
      <c r="HHA34" s="47"/>
      <c r="HHB34" s="47"/>
      <c r="HHC34" s="47"/>
      <c r="HHD34" s="47"/>
      <c r="HHE34" s="47"/>
      <c r="HHF34" s="47"/>
      <c r="HHG34" s="47"/>
      <c r="HHH34" s="47"/>
      <c r="HHI34" s="47"/>
      <c r="HHJ34" s="47"/>
      <c r="HHK34" s="47"/>
      <c r="HHL34" s="47"/>
      <c r="HHM34" s="47"/>
      <c r="HHN34" s="47"/>
      <c r="HHO34" s="47"/>
      <c r="HHP34" s="47"/>
      <c r="HHQ34" s="47"/>
      <c r="HHR34" s="47"/>
      <c r="HHS34" s="47"/>
      <c r="HHT34" s="47"/>
      <c r="HHU34" s="47"/>
      <c r="HHV34" s="47"/>
      <c r="HHW34" s="47"/>
      <c r="HHX34" s="47"/>
      <c r="HHY34" s="47"/>
      <c r="HHZ34" s="47"/>
      <c r="HIA34" s="47"/>
      <c r="HIB34" s="47"/>
      <c r="HIC34" s="47"/>
      <c r="HID34" s="47"/>
      <c r="HIE34" s="47"/>
      <c r="HIF34" s="47"/>
      <c r="HIG34" s="47"/>
      <c r="HIH34" s="47"/>
      <c r="HII34" s="47"/>
      <c r="HIJ34" s="47"/>
      <c r="HIK34" s="47"/>
      <c r="HIL34" s="47"/>
      <c r="HIM34" s="47"/>
      <c r="HIN34" s="47"/>
      <c r="HIO34" s="47"/>
      <c r="HIP34" s="47"/>
      <c r="HIQ34" s="47"/>
      <c r="HIR34" s="47"/>
      <c r="HIS34" s="47"/>
      <c r="HIT34" s="47"/>
      <c r="HIU34" s="47"/>
      <c r="HIV34" s="47"/>
      <c r="HIW34" s="47"/>
      <c r="HIX34" s="47"/>
      <c r="HIY34" s="47"/>
      <c r="HIZ34" s="47"/>
      <c r="HJA34" s="47"/>
      <c r="HJB34" s="47"/>
      <c r="HJC34" s="47"/>
      <c r="HJD34" s="47"/>
      <c r="HJE34" s="47"/>
      <c r="HJF34" s="47"/>
      <c r="HJG34" s="47"/>
      <c r="HJH34" s="47"/>
      <c r="HJI34" s="47"/>
      <c r="HJJ34" s="47"/>
      <c r="HJK34" s="47"/>
      <c r="HJL34" s="47"/>
      <c r="HJM34" s="47"/>
      <c r="HJN34" s="47"/>
      <c r="HJO34" s="47"/>
      <c r="HJP34" s="47"/>
      <c r="HJQ34" s="47"/>
      <c r="HJR34" s="47"/>
      <c r="HJS34" s="47"/>
      <c r="HJT34" s="47"/>
      <c r="HJU34" s="47"/>
      <c r="HJV34" s="47"/>
      <c r="HJW34" s="47"/>
      <c r="HJX34" s="47"/>
      <c r="HJY34" s="47"/>
      <c r="HJZ34" s="47"/>
      <c r="HKA34" s="47"/>
      <c r="HKB34" s="47"/>
      <c r="HKC34" s="47"/>
      <c r="HKD34" s="47"/>
      <c r="HKE34" s="47"/>
      <c r="HKF34" s="47"/>
      <c r="HKG34" s="47"/>
      <c r="HKH34" s="47"/>
      <c r="HKI34" s="47"/>
      <c r="HKJ34" s="47"/>
      <c r="HKK34" s="47"/>
      <c r="HKL34" s="47"/>
      <c r="HKM34" s="47"/>
      <c r="HKN34" s="47"/>
      <c r="HKO34" s="47"/>
      <c r="HKP34" s="47"/>
      <c r="HKQ34" s="47"/>
      <c r="HKR34" s="47"/>
      <c r="HKS34" s="47"/>
      <c r="HKT34" s="47"/>
      <c r="HKU34" s="47"/>
      <c r="HKV34" s="47"/>
      <c r="HKW34" s="47"/>
      <c r="HKX34" s="47"/>
      <c r="HKY34" s="47"/>
      <c r="HKZ34" s="47"/>
      <c r="HLA34" s="47"/>
      <c r="HLB34" s="47"/>
      <c r="HLC34" s="47"/>
      <c r="HLD34" s="47"/>
      <c r="HLE34" s="47"/>
      <c r="HLF34" s="47"/>
      <c r="HLG34" s="47"/>
      <c r="HLH34" s="47"/>
      <c r="HLI34" s="47"/>
      <c r="HLJ34" s="47"/>
      <c r="HLK34" s="47"/>
      <c r="HLL34" s="47"/>
      <c r="HLM34" s="47"/>
      <c r="HLN34" s="47"/>
      <c r="HLO34" s="47"/>
      <c r="HLP34" s="47"/>
      <c r="HLQ34" s="47"/>
      <c r="HLR34" s="47"/>
      <c r="HLS34" s="47"/>
      <c r="HLT34" s="47"/>
      <c r="HLU34" s="47"/>
      <c r="HLV34" s="47"/>
      <c r="HLW34" s="47"/>
      <c r="HLX34" s="47"/>
      <c r="HLY34" s="47"/>
      <c r="HLZ34" s="47"/>
      <c r="HMA34" s="47"/>
      <c r="HMB34" s="47"/>
      <c r="HMC34" s="47"/>
      <c r="HMD34" s="47"/>
      <c r="HME34" s="47"/>
      <c r="HMF34" s="47"/>
      <c r="HMG34" s="47"/>
      <c r="HMH34" s="47"/>
      <c r="HMI34" s="47"/>
      <c r="HMJ34" s="47"/>
      <c r="HMK34" s="47"/>
      <c r="HML34" s="47"/>
      <c r="HMM34" s="47"/>
      <c r="HMN34" s="47"/>
      <c r="HMO34" s="47"/>
      <c r="HMP34" s="47"/>
      <c r="HMQ34" s="47"/>
      <c r="HMR34" s="47"/>
      <c r="HMS34" s="47"/>
      <c r="HMT34" s="47"/>
      <c r="HMU34" s="47"/>
      <c r="HMV34" s="47"/>
      <c r="HMW34" s="47"/>
      <c r="HMX34" s="47"/>
      <c r="HMY34" s="47"/>
      <c r="HMZ34" s="47"/>
      <c r="HNA34" s="47"/>
      <c r="HNB34" s="47"/>
      <c r="HNC34" s="47"/>
      <c r="HND34" s="47"/>
      <c r="HNE34" s="47"/>
      <c r="HNF34" s="47"/>
      <c r="HNG34" s="47"/>
      <c r="HNH34" s="47"/>
      <c r="HNI34" s="47"/>
      <c r="HNJ34" s="47"/>
      <c r="HNK34" s="47"/>
      <c r="HNL34" s="47"/>
      <c r="HNM34" s="47"/>
      <c r="HNN34" s="47"/>
      <c r="HNO34" s="47"/>
      <c r="HNP34" s="47"/>
      <c r="HNQ34" s="47"/>
      <c r="HNR34" s="47"/>
      <c r="HNS34" s="47"/>
      <c r="HNT34" s="47"/>
      <c r="HNU34" s="47"/>
      <c r="HNV34" s="47"/>
      <c r="HNW34" s="47"/>
      <c r="HNX34" s="47"/>
      <c r="HNY34" s="47"/>
      <c r="HNZ34" s="47"/>
      <c r="HOA34" s="47"/>
      <c r="HOB34" s="47"/>
      <c r="HOC34" s="47"/>
      <c r="HOD34" s="47"/>
      <c r="HOE34" s="47"/>
      <c r="HOF34" s="47"/>
      <c r="HOG34" s="47"/>
      <c r="HOH34" s="47"/>
      <c r="HOI34" s="47"/>
      <c r="HOJ34" s="47"/>
      <c r="HOK34" s="47"/>
      <c r="HOL34" s="47"/>
      <c r="HOM34" s="47"/>
      <c r="HON34" s="47"/>
      <c r="HOO34" s="47"/>
      <c r="HOP34" s="47"/>
      <c r="HOQ34" s="47"/>
      <c r="HOR34" s="47"/>
      <c r="HOS34" s="47"/>
      <c r="HOT34" s="47"/>
      <c r="HOU34" s="47"/>
      <c r="HOV34" s="47"/>
      <c r="HOW34" s="47"/>
      <c r="HOX34" s="47"/>
      <c r="HOY34" s="47"/>
      <c r="HOZ34" s="47"/>
      <c r="HPA34" s="47"/>
      <c r="HPB34" s="47"/>
      <c r="HPC34" s="47"/>
      <c r="HPD34" s="47"/>
      <c r="HPE34" s="47"/>
      <c r="HPF34" s="47"/>
      <c r="HPG34" s="47"/>
      <c r="HPH34" s="47"/>
      <c r="HPI34" s="47"/>
      <c r="HPJ34" s="47"/>
      <c r="HPK34" s="47"/>
      <c r="HPL34" s="47"/>
      <c r="HPM34" s="47"/>
      <c r="HPN34" s="47"/>
      <c r="HPO34" s="47"/>
      <c r="HPP34" s="47"/>
      <c r="HPQ34" s="47"/>
      <c r="HPR34" s="47"/>
      <c r="HPS34" s="47"/>
      <c r="HPT34" s="47"/>
      <c r="HPU34" s="47"/>
      <c r="HPV34" s="47"/>
      <c r="HPW34" s="47"/>
      <c r="HPX34" s="47"/>
      <c r="HPY34" s="47"/>
      <c r="HPZ34" s="47"/>
      <c r="HQA34" s="47"/>
      <c r="HQB34" s="47"/>
      <c r="HQC34" s="47"/>
      <c r="HQD34" s="47"/>
      <c r="HQE34" s="47"/>
      <c r="HQF34" s="47"/>
      <c r="HQG34" s="47"/>
      <c r="HQH34" s="47"/>
      <c r="HQI34" s="47"/>
      <c r="HQJ34" s="47"/>
      <c r="HQK34" s="47"/>
      <c r="HQL34" s="47"/>
      <c r="HQM34" s="47"/>
      <c r="HQN34" s="47"/>
      <c r="HQO34" s="47"/>
      <c r="HQP34" s="47"/>
      <c r="HQQ34" s="47"/>
      <c r="HQR34" s="47"/>
      <c r="HQS34" s="47"/>
      <c r="HQT34" s="47"/>
      <c r="HQU34" s="47"/>
      <c r="HQV34" s="47"/>
      <c r="HQW34" s="47"/>
      <c r="HQX34" s="47"/>
      <c r="HQY34" s="47"/>
      <c r="HQZ34" s="47"/>
      <c r="HRA34" s="47"/>
      <c r="HRB34" s="47"/>
      <c r="HRC34" s="47"/>
      <c r="HRD34" s="47"/>
      <c r="HRE34" s="47"/>
      <c r="HRF34" s="47"/>
      <c r="HRG34" s="47"/>
      <c r="HRH34" s="47"/>
      <c r="HRI34" s="47"/>
      <c r="HRJ34" s="47"/>
      <c r="HRK34" s="47"/>
      <c r="HRL34" s="47"/>
      <c r="HRM34" s="47"/>
      <c r="HRN34" s="47"/>
      <c r="HRO34" s="47"/>
      <c r="HRP34" s="47"/>
      <c r="HRQ34" s="47"/>
      <c r="HRR34" s="47"/>
      <c r="HRS34" s="47"/>
      <c r="HRT34" s="47"/>
      <c r="HRU34" s="47"/>
      <c r="HRV34" s="47"/>
      <c r="HRW34" s="47"/>
      <c r="HRX34" s="47"/>
      <c r="HRY34" s="47"/>
      <c r="HRZ34" s="47"/>
      <c r="HSA34" s="47"/>
      <c r="HSB34" s="47"/>
      <c r="HSC34" s="47"/>
      <c r="HSD34" s="47"/>
      <c r="HSE34" s="47"/>
      <c r="HSF34" s="47"/>
      <c r="HSG34" s="47"/>
      <c r="HSH34" s="47"/>
      <c r="HSI34" s="47"/>
      <c r="HSJ34" s="47"/>
      <c r="HSK34" s="47"/>
      <c r="HSL34" s="47"/>
      <c r="HSM34" s="47"/>
      <c r="HSN34" s="47"/>
      <c r="HSO34" s="47"/>
      <c r="HSP34" s="47"/>
      <c r="HSQ34" s="47"/>
      <c r="HSR34" s="47"/>
      <c r="HSS34" s="47"/>
      <c r="HST34" s="47"/>
      <c r="HSU34" s="47"/>
      <c r="HSV34" s="47"/>
      <c r="HSW34" s="47"/>
      <c r="HSX34" s="47"/>
      <c r="HSY34" s="47"/>
      <c r="HSZ34" s="47"/>
      <c r="HTA34" s="47"/>
      <c r="HTB34" s="47"/>
      <c r="HTC34" s="47"/>
      <c r="HTD34" s="47"/>
      <c r="HTE34" s="47"/>
      <c r="HTF34" s="47"/>
      <c r="HTG34" s="47"/>
      <c r="HTH34" s="47"/>
      <c r="HTI34" s="47"/>
      <c r="HTJ34" s="47"/>
      <c r="HTK34" s="47"/>
      <c r="HTL34" s="47"/>
      <c r="HTM34" s="47"/>
      <c r="HTN34" s="47"/>
      <c r="HTO34" s="47"/>
      <c r="HTP34" s="47"/>
      <c r="HTQ34" s="47"/>
      <c r="HTR34" s="47"/>
      <c r="HTS34" s="47"/>
      <c r="HTT34" s="47"/>
      <c r="HTU34" s="47"/>
      <c r="HTV34" s="47"/>
      <c r="HTW34" s="47"/>
      <c r="HTX34" s="47"/>
      <c r="HTY34" s="47"/>
      <c r="HTZ34" s="47"/>
      <c r="HUA34" s="47"/>
      <c r="HUB34" s="47"/>
      <c r="HUC34" s="47"/>
      <c r="HUD34" s="47"/>
      <c r="HUE34" s="47"/>
      <c r="HUF34" s="47"/>
      <c r="HUG34" s="47"/>
      <c r="HUH34" s="47"/>
      <c r="HUI34" s="47"/>
      <c r="HUJ34" s="47"/>
      <c r="HUK34" s="47"/>
      <c r="HUL34" s="47"/>
      <c r="HUM34" s="47"/>
      <c r="HUN34" s="47"/>
      <c r="HUO34" s="47"/>
      <c r="HUP34" s="47"/>
      <c r="HUQ34" s="47"/>
      <c r="HUR34" s="47"/>
      <c r="HUS34" s="47"/>
      <c r="HUT34" s="47"/>
      <c r="HUU34" s="47"/>
      <c r="HUV34" s="47"/>
      <c r="HUW34" s="47"/>
      <c r="HUX34" s="47"/>
      <c r="HUY34" s="47"/>
      <c r="HUZ34" s="47"/>
      <c r="HVA34" s="47"/>
      <c r="HVB34" s="47"/>
      <c r="HVC34" s="47"/>
      <c r="HVD34" s="47"/>
      <c r="HVE34" s="47"/>
      <c r="HVF34" s="47"/>
      <c r="HVG34" s="47"/>
      <c r="HVH34" s="47"/>
      <c r="HVI34" s="47"/>
      <c r="HVJ34" s="47"/>
      <c r="HVK34" s="47"/>
      <c r="HVL34" s="47"/>
      <c r="HVM34" s="47"/>
      <c r="HVN34" s="47"/>
      <c r="HVO34" s="47"/>
      <c r="HVP34" s="47"/>
      <c r="HVQ34" s="47"/>
      <c r="HVR34" s="47"/>
      <c r="HVS34" s="47"/>
      <c r="HVT34" s="47"/>
      <c r="HVU34" s="47"/>
      <c r="HVV34" s="47"/>
      <c r="HVW34" s="47"/>
      <c r="HVX34" s="47"/>
      <c r="HVY34" s="47"/>
      <c r="HVZ34" s="47"/>
      <c r="HWA34" s="47"/>
      <c r="HWB34" s="47"/>
      <c r="HWC34" s="47"/>
      <c r="HWD34" s="47"/>
      <c r="HWE34" s="47"/>
      <c r="HWF34" s="47"/>
      <c r="HWG34" s="47"/>
      <c r="HWH34" s="47"/>
      <c r="HWI34" s="47"/>
      <c r="HWJ34" s="47"/>
      <c r="HWK34" s="47"/>
      <c r="HWL34" s="47"/>
      <c r="HWM34" s="47"/>
      <c r="HWN34" s="47"/>
      <c r="HWO34" s="47"/>
      <c r="HWP34" s="47"/>
      <c r="HWQ34" s="47"/>
      <c r="HWR34" s="47"/>
      <c r="HWS34" s="47"/>
      <c r="HWT34" s="47"/>
      <c r="HWU34" s="47"/>
      <c r="HWV34" s="47"/>
      <c r="HWW34" s="47"/>
      <c r="HWX34" s="47"/>
      <c r="HWY34" s="47"/>
      <c r="HWZ34" s="47"/>
      <c r="HXA34" s="47"/>
      <c r="HXB34" s="47"/>
      <c r="HXC34" s="47"/>
      <c r="HXD34" s="47"/>
      <c r="HXE34" s="47"/>
      <c r="HXF34" s="47"/>
      <c r="HXG34" s="47"/>
      <c r="HXH34" s="47"/>
      <c r="HXI34" s="47"/>
      <c r="HXJ34" s="47"/>
      <c r="HXK34" s="47"/>
      <c r="HXL34" s="47"/>
      <c r="HXM34" s="47"/>
      <c r="HXN34" s="47"/>
      <c r="HXO34" s="47"/>
      <c r="HXP34" s="47"/>
      <c r="HXQ34" s="47"/>
      <c r="HXR34" s="47"/>
      <c r="HXS34" s="47"/>
      <c r="HXT34" s="47"/>
      <c r="HXU34" s="47"/>
      <c r="HXV34" s="47"/>
      <c r="HXW34" s="47"/>
      <c r="HXX34" s="47"/>
      <c r="HXY34" s="47"/>
      <c r="HXZ34" s="47"/>
      <c r="HYA34" s="47"/>
      <c r="HYB34" s="47"/>
      <c r="HYC34" s="47"/>
      <c r="HYD34" s="47"/>
      <c r="HYE34" s="47"/>
      <c r="HYF34" s="47"/>
      <c r="HYG34" s="47"/>
      <c r="HYH34" s="47"/>
      <c r="HYI34" s="47"/>
      <c r="HYJ34" s="47"/>
      <c r="HYK34" s="47"/>
      <c r="HYL34" s="47"/>
      <c r="HYM34" s="47"/>
      <c r="HYN34" s="47"/>
      <c r="HYO34" s="47"/>
      <c r="HYP34" s="47"/>
      <c r="HYQ34" s="47"/>
      <c r="HYR34" s="47"/>
      <c r="HYS34" s="47"/>
      <c r="HYT34" s="47"/>
      <c r="HYU34" s="47"/>
      <c r="HYV34" s="47"/>
      <c r="HYW34" s="47"/>
      <c r="HYX34" s="47"/>
      <c r="HYY34" s="47"/>
      <c r="HYZ34" s="47"/>
      <c r="HZA34" s="47"/>
      <c r="HZB34" s="47"/>
      <c r="HZC34" s="47"/>
      <c r="HZD34" s="47"/>
      <c r="HZE34" s="47"/>
      <c r="HZF34" s="47"/>
      <c r="HZG34" s="47"/>
      <c r="HZH34" s="47"/>
      <c r="HZI34" s="47"/>
      <c r="HZJ34" s="47"/>
      <c r="HZK34" s="47"/>
      <c r="HZL34" s="47"/>
      <c r="HZM34" s="47"/>
      <c r="HZN34" s="47"/>
      <c r="HZO34" s="47"/>
      <c r="HZP34" s="47"/>
      <c r="HZQ34" s="47"/>
      <c r="HZR34" s="47"/>
      <c r="HZS34" s="47"/>
      <c r="HZT34" s="47"/>
      <c r="HZU34" s="47"/>
      <c r="HZV34" s="47"/>
      <c r="HZW34" s="47"/>
      <c r="HZX34" s="47"/>
      <c r="HZY34" s="47"/>
      <c r="HZZ34" s="47"/>
      <c r="IAA34" s="47"/>
      <c r="IAB34" s="47"/>
      <c r="IAC34" s="47"/>
      <c r="IAD34" s="47"/>
      <c r="IAE34" s="47"/>
      <c r="IAF34" s="47"/>
      <c r="IAG34" s="47"/>
      <c r="IAH34" s="47"/>
      <c r="IAI34" s="47"/>
      <c r="IAJ34" s="47"/>
      <c r="IAK34" s="47"/>
      <c r="IAL34" s="47"/>
      <c r="IAM34" s="47"/>
      <c r="IAN34" s="47"/>
      <c r="IAO34" s="47"/>
      <c r="IAP34" s="47"/>
      <c r="IAQ34" s="47"/>
      <c r="IAR34" s="47"/>
      <c r="IAS34" s="47"/>
      <c r="IAT34" s="47"/>
      <c r="IAU34" s="47"/>
      <c r="IAV34" s="47"/>
      <c r="IAW34" s="47"/>
      <c r="IAX34" s="47"/>
      <c r="IAY34" s="47"/>
      <c r="IAZ34" s="47"/>
      <c r="IBA34" s="47"/>
      <c r="IBB34" s="47"/>
      <c r="IBC34" s="47"/>
      <c r="IBD34" s="47"/>
      <c r="IBE34" s="47"/>
      <c r="IBF34" s="47"/>
      <c r="IBG34" s="47"/>
      <c r="IBH34" s="47"/>
      <c r="IBI34" s="47"/>
      <c r="IBJ34" s="47"/>
      <c r="IBK34" s="47"/>
      <c r="IBL34" s="47"/>
      <c r="IBM34" s="47"/>
      <c r="IBN34" s="47"/>
      <c r="IBO34" s="47"/>
      <c r="IBP34" s="47"/>
      <c r="IBQ34" s="47"/>
      <c r="IBR34" s="47"/>
      <c r="IBS34" s="47"/>
      <c r="IBT34" s="47"/>
      <c r="IBU34" s="47"/>
      <c r="IBV34" s="47"/>
      <c r="IBW34" s="47"/>
      <c r="IBX34" s="47"/>
      <c r="IBY34" s="47"/>
      <c r="IBZ34" s="47"/>
      <c r="ICA34" s="47"/>
      <c r="ICB34" s="47"/>
      <c r="ICC34" s="47"/>
      <c r="ICD34" s="47"/>
      <c r="ICE34" s="47"/>
      <c r="ICF34" s="47"/>
      <c r="ICG34" s="47"/>
      <c r="ICH34" s="47"/>
      <c r="ICI34" s="47"/>
      <c r="ICJ34" s="47"/>
      <c r="ICK34" s="47"/>
      <c r="ICL34" s="47"/>
      <c r="ICM34" s="47"/>
      <c r="ICN34" s="47"/>
      <c r="ICO34" s="47"/>
      <c r="ICP34" s="47"/>
      <c r="ICQ34" s="47"/>
      <c r="ICR34" s="47"/>
      <c r="ICS34" s="47"/>
      <c r="ICT34" s="47"/>
      <c r="ICU34" s="47"/>
      <c r="ICV34" s="47"/>
      <c r="ICW34" s="47"/>
      <c r="ICX34" s="47"/>
      <c r="ICY34" s="47"/>
      <c r="ICZ34" s="47"/>
      <c r="IDA34" s="47"/>
      <c r="IDB34" s="47"/>
      <c r="IDC34" s="47"/>
      <c r="IDD34" s="47"/>
      <c r="IDE34" s="47"/>
      <c r="IDF34" s="47"/>
      <c r="IDG34" s="47"/>
      <c r="IDH34" s="47"/>
      <c r="IDI34" s="47"/>
      <c r="IDJ34" s="47"/>
      <c r="IDK34" s="47"/>
      <c r="IDL34" s="47"/>
      <c r="IDM34" s="47"/>
      <c r="IDN34" s="47"/>
      <c r="IDO34" s="47"/>
      <c r="IDP34" s="47"/>
      <c r="IDQ34" s="47"/>
      <c r="IDR34" s="47"/>
      <c r="IDS34" s="47"/>
      <c r="IDT34" s="47"/>
      <c r="IDU34" s="47"/>
      <c r="IDV34" s="47"/>
      <c r="IDW34" s="47"/>
      <c r="IDX34" s="47"/>
      <c r="IDY34" s="47"/>
      <c r="IDZ34" s="47"/>
      <c r="IEA34" s="47"/>
      <c r="IEB34" s="47"/>
      <c r="IEC34" s="47"/>
      <c r="IED34" s="47"/>
      <c r="IEE34" s="47"/>
      <c r="IEF34" s="47"/>
      <c r="IEG34" s="47"/>
      <c r="IEH34" s="47"/>
      <c r="IEI34" s="47"/>
      <c r="IEJ34" s="47"/>
      <c r="IEK34" s="47"/>
      <c r="IEL34" s="47"/>
      <c r="IEM34" s="47"/>
      <c r="IEN34" s="47"/>
      <c r="IEO34" s="47"/>
      <c r="IEP34" s="47"/>
      <c r="IEQ34" s="47"/>
      <c r="IER34" s="47"/>
      <c r="IES34" s="47"/>
      <c r="IET34" s="47"/>
      <c r="IEU34" s="47"/>
      <c r="IEV34" s="47"/>
      <c r="IEW34" s="47"/>
      <c r="IEX34" s="47"/>
      <c r="IEY34" s="47"/>
      <c r="IEZ34" s="47"/>
      <c r="IFA34" s="47"/>
      <c r="IFB34" s="47"/>
      <c r="IFC34" s="47"/>
      <c r="IFD34" s="47"/>
      <c r="IFE34" s="47"/>
      <c r="IFF34" s="47"/>
      <c r="IFG34" s="47"/>
      <c r="IFH34" s="47"/>
      <c r="IFI34" s="47"/>
      <c r="IFJ34" s="47"/>
      <c r="IFK34" s="47"/>
      <c r="IFL34" s="47"/>
      <c r="IFM34" s="47"/>
      <c r="IFN34" s="47"/>
      <c r="IFO34" s="47"/>
      <c r="IFP34" s="47"/>
      <c r="IFQ34" s="47"/>
      <c r="IFR34" s="47"/>
      <c r="IFS34" s="47"/>
      <c r="IFT34" s="47"/>
      <c r="IFU34" s="47"/>
      <c r="IFV34" s="47"/>
      <c r="IFW34" s="47"/>
      <c r="IFX34" s="47"/>
      <c r="IFY34" s="47"/>
      <c r="IFZ34" s="47"/>
      <c r="IGA34" s="47"/>
      <c r="IGB34" s="47"/>
      <c r="IGC34" s="47"/>
      <c r="IGD34" s="47"/>
      <c r="IGE34" s="47"/>
      <c r="IGF34" s="47"/>
      <c r="IGG34" s="47"/>
      <c r="IGH34" s="47"/>
      <c r="IGI34" s="47"/>
      <c r="IGJ34" s="47"/>
      <c r="IGK34" s="47"/>
      <c r="IGL34" s="47"/>
      <c r="IGM34" s="47"/>
      <c r="IGN34" s="47"/>
      <c r="IGO34" s="47"/>
      <c r="IGP34" s="47"/>
      <c r="IGQ34" s="47"/>
      <c r="IGR34" s="47"/>
      <c r="IGS34" s="47"/>
      <c r="IGT34" s="47"/>
      <c r="IGU34" s="47"/>
      <c r="IGV34" s="47"/>
      <c r="IGW34" s="47"/>
      <c r="IGX34" s="47"/>
      <c r="IGY34" s="47"/>
      <c r="IGZ34" s="47"/>
      <c r="IHA34" s="47"/>
      <c r="IHB34" s="47"/>
      <c r="IHC34" s="47"/>
      <c r="IHD34" s="47"/>
      <c r="IHE34" s="47"/>
      <c r="IHF34" s="47"/>
      <c r="IHG34" s="47"/>
      <c r="IHH34" s="47"/>
      <c r="IHI34" s="47"/>
      <c r="IHJ34" s="47"/>
      <c r="IHK34" s="47"/>
      <c r="IHL34" s="47"/>
      <c r="IHM34" s="47"/>
      <c r="IHN34" s="47"/>
      <c r="IHO34" s="47"/>
      <c r="IHP34" s="47"/>
      <c r="IHQ34" s="47"/>
      <c r="IHR34" s="47"/>
      <c r="IHS34" s="47"/>
      <c r="IHT34" s="47"/>
      <c r="IHU34" s="47"/>
      <c r="IHV34" s="47"/>
      <c r="IHW34" s="47"/>
      <c r="IHX34" s="47"/>
      <c r="IHY34" s="47"/>
      <c r="IHZ34" s="47"/>
      <c r="IIA34" s="47"/>
      <c r="IIB34" s="47"/>
      <c r="IIC34" s="47"/>
      <c r="IID34" s="47"/>
      <c r="IIE34" s="47"/>
      <c r="IIF34" s="47"/>
      <c r="IIG34" s="47"/>
      <c r="IIH34" s="47"/>
      <c r="III34" s="47"/>
      <c r="IIJ34" s="47"/>
      <c r="IIK34" s="47"/>
      <c r="IIL34" s="47"/>
      <c r="IIM34" s="47"/>
      <c r="IIN34" s="47"/>
      <c r="IIO34" s="47"/>
      <c r="IIP34" s="47"/>
      <c r="IIQ34" s="47"/>
      <c r="IIR34" s="47"/>
      <c r="IIS34" s="47"/>
      <c r="IIT34" s="47"/>
      <c r="IIU34" s="47"/>
      <c r="IIV34" s="47"/>
      <c r="IIW34" s="47"/>
      <c r="IIX34" s="47"/>
      <c r="IIY34" s="47"/>
      <c r="IIZ34" s="47"/>
      <c r="IJA34" s="47"/>
      <c r="IJB34" s="47"/>
      <c r="IJC34" s="47"/>
      <c r="IJD34" s="47"/>
      <c r="IJE34" s="47"/>
      <c r="IJF34" s="47"/>
      <c r="IJG34" s="47"/>
      <c r="IJH34" s="47"/>
      <c r="IJI34" s="47"/>
      <c r="IJJ34" s="47"/>
      <c r="IJK34" s="47"/>
      <c r="IJL34" s="47"/>
      <c r="IJM34" s="47"/>
      <c r="IJN34" s="47"/>
      <c r="IJO34" s="47"/>
      <c r="IJP34" s="47"/>
      <c r="IJQ34" s="47"/>
      <c r="IJR34" s="47"/>
      <c r="IJS34" s="47"/>
      <c r="IJT34" s="47"/>
      <c r="IJU34" s="47"/>
      <c r="IJV34" s="47"/>
      <c r="IJW34" s="47"/>
      <c r="IJX34" s="47"/>
      <c r="IJY34" s="47"/>
      <c r="IJZ34" s="47"/>
      <c r="IKA34" s="47"/>
      <c r="IKB34" s="47"/>
      <c r="IKC34" s="47"/>
      <c r="IKD34" s="47"/>
      <c r="IKE34" s="47"/>
      <c r="IKF34" s="47"/>
      <c r="IKG34" s="47"/>
      <c r="IKH34" s="47"/>
      <c r="IKI34" s="47"/>
      <c r="IKJ34" s="47"/>
      <c r="IKK34" s="47"/>
      <c r="IKL34" s="47"/>
      <c r="IKM34" s="47"/>
      <c r="IKN34" s="47"/>
      <c r="IKO34" s="47"/>
      <c r="IKP34" s="47"/>
      <c r="IKQ34" s="47"/>
      <c r="IKR34" s="47"/>
      <c r="IKS34" s="47"/>
      <c r="IKT34" s="47"/>
      <c r="IKU34" s="47"/>
      <c r="IKV34" s="47"/>
      <c r="IKW34" s="47"/>
      <c r="IKX34" s="47"/>
      <c r="IKY34" s="47"/>
      <c r="IKZ34" s="47"/>
      <c r="ILA34" s="47"/>
      <c r="ILB34" s="47"/>
      <c r="ILC34" s="47"/>
      <c r="ILD34" s="47"/>
      <c r="ILE34" s="47"/>
      <c r="ILF34" s="47"/>
      <c r="ILG34" s="47"/>
      <c r="ILH34" s="47"/>
      <c r="ILI34" s="47"/>
      <c r="ILJ34" s="47"/>
      <c r="ILK34" s="47"/>
      <c r="ILL34" s="47"/>
      <c r="ILM34" s="47"/>
      <c r="ILN34" s="47"/>
      <c r="ILO34" s="47"/>
      <c r="ILP34" s="47"/>
      <c r="ILQ34" s="47"/>
      <c r="ILR34" s="47"/>
      <c r="ILS34" s="47"/>
      <c r="ILT34" s="47"/>
      <c r="ILU34" s="47"/>
      <c r="ILV34" s="47"/>
      <c r="ILW34" s="47"/>
      <c r="ILX34" s="47"/>
      <c r="ILY34" s="47"/>
      <c r="ILZ34" s="47"/>
      <c r="IMA34" s="47"/>
      <c r="IMB34" s="47"/>
      <c r="IMC34" s="47"/>
      <c r="IMD34" s="47"/>
      <c r="IME34" s="47"/>
      <c r="IMF34" s="47"/>
      <c r="IMG34" s="47"/>
      <c r="IMH34" s="47"/>
      <c r="IMI34" s="47"/>
      <c r="IMJ34" s="47"/>
      <c r="IMK34" s="47"/>
      <c r="IML34" s="47"/>
      <c r="IMM34" s="47"/>
      <c r="IMN34" s="47"/>
      <c r="IMO34" s="47"/>
      <c r="IMP34" s="47"/>
      <c r="IMQ34" s="47"/>
      <c r="IMR34" s="47"/>
      <c r="IMS34" s="47"/>
      <c r="IMT34" s="47"/>
      <c r="IMU34" s="47"/>
      <c r="IMV34" s="47"/>
      <c r="IMW34" s="47"/>
      <c r="IMX34" s="47"/>
      <c r="IMY34" s="47"/>
      <c r="IMZ34" s="47"/>
      <c r="INA34" s="47"/>
      <c r="INB34" s="47"/>
      <c r="INC34" s="47"/>
      <c r="IND34" s="47"/>
      <c r="INE34" s="47"/>
      <c r="INF34" s="47"/>
      <c r="ING34" s="47"/>
      <c r="INH34" s="47"/>
      <c r="INI34" s="47"/>
      <c r="INJ34" s="47"/>
      <c r="INK34" s="47"/>
      <c r="INL34" s="47"/>
      <c r="INM34" s="47"/>
      <c r="INN34" s="47"/>
      <c r="INO34" s="47"/>
      <c r="INP34" s="47"/>
      <c r="INQ34" s="47"/>
      <c r="INR34" s="47"/>
      <c r="INS34" s="47"/>
      <c r="INT34" s="47"/>
      <c r="INU34" s="47"/>
      <c r="INV34" s="47"/>
      <c r="INW34" s="47"/>
      <c r="INX34" s="47"/>
      <c r="INY34" s="47"/>
      <c r="INZ34" s="47"/>
      <c r="IOA34" s="47"/>
      <c r="IOB34" s="47"/>
      <c r="IOC34" s="47"/>
      <c r="IOD34" s="47"/>
      <c r="IOE34" s="47"/>
      <c r="IOF34" s="47"/>
      <c r="IOG34" s="47"/>
      <c r="IOH34" s="47"/>
      <c r="IOI34" s="47"/>
      <c r="IOJ34" s="47"/>
      <c r="IOK34" s="47"/>
      <c r="IOL34" s="47"/>
      <c r="IOM34" s="47"/>
      <c r="ION34" s="47"/>
      <c r="IOO34" s="47"/>
      <c r="IOP34" s="47"/>
      <c r="IOQ34" s="47"/>
      <c r="IOR34" s="47"/>
      <c r="IOS34" s="47"/>
      <c r="IOT34" s="47"/>
      <c r="IOU34" s="47"/>
      <c r="IOV34" s="47"/>
      <c r="IOW34" s="47"/>
      <c r="IOX34" s="47"/>
      <c r="IOY34" s="47"/>
      <c r="IOZ34" s="47"/>
      <c r="IPA34" s="47"/>
      <c r="IPB34" s="47"/>
      <c r="IPC34" s="47"/>
      <c r="IPD34" s="47"/>
      <c r="IPE34" s="47"/>
      <c r="IPF34" s="47"/>
      <c r="IPG34" s="47"/>
      <c r="IPH34" s="47"/>
      <c r="IPI34" s="47"/>
      <c r="IPJ34" s="47"/>
      <c r="IPK34" s="47"/>
      <c r="IPL34" s="47"/>
      <c r="IPM34" s="47"/>
      <c r="IPN34" s="47"/>
      <c r="IPO34" s="47"/>
      <c r="IPP34" s="47"/>
      <c r="IPQ34" s="47"/>
      <c r="IPR34" s="47"/>
      <c r="IPS34" s="47"/>
      <c r="IPT34" s="47"/>
      <c r="IPU34" s="47"/>
      <c r="IPV34" s="47"/>
      <c r="IPW34" s="47"/>
      <c r="IPX34" s="47"/>
      <c r="IPY34" s="47"/>
      <c r="IPZ34" s="47"/>
      <c r="IQA34" s="47"/>
      <c r="IQB34" s="47"/>
      <c r="IQC34" s="47"/>
      <c r="IQD34" s="47"/>
      <c r="IQE34" s="47"/>
      <c r="IQF34" s="47"/>
      <c r="IQG34" s="47"/>
      <c r="IQH34" s="47"/>
      <c r="IQI34" s="47"/>
      <c r="IQJ34" s="47"/>
      <c r="IQK34" s="47"/>
      <c r="IQL34" s="47"/>
      <c r="IQM34" s="47"/>
      <c r="IQN34" s="47"/>
      <c r="IQO34" s="47"/>
      <c r="IQP34" s="47"/>
      <c r="IQQ34" s="47"/>
      <c r="IQR34" s="47"/>
      <c r="IQS34" s="47"/>
      <c r="IQT34" s="47"/>
      <c r="IQU34" s="47"/>
      <c r="IQV34" s="47"/>
      <c r="IQW34" s="47"/>
      <c r="IQX34" s="47"/>
      <c r="IQY34" s="47"/>
      <c r="IQZ34" s="47"/>
      <c r="IRA34" s="47"/>
      <c r="IRB34" s="47"/>
      <c r="IRC34" s="47"/>
      <c r="IRD34" s="47"/>
      <c r="IRE34" s="47"/>
      <c r="IRF34" s="47"/>
      <c r="IRG34" s="47"/>
      <c r="IRH34" s="47"/>
      <c r="IRI34" s="47"/>
      <c r="IRJ34" s="47"/>
      <c r="IRK34" s="47"/>
      <c r="IRL34" s="47"/>
      <c r="IRM34" s="47"/>
      <c r="IRN34" s="47"/>
      <c r="IRO34" s="47"/>
      <c r="IRP34" s="47"/>
      <c r="IRQ34" s="47"/>
      <c r="IRR34" s="47"/>
      <c r="IRS34" s="47"/>
      <c r="IRT34" s="47"/>
      <c r="IRU34" s="47"/>
      <c r="IRV34" s="47"/>
      <c r="IRW34" s="47"/>
      <c r="IRX34" s="47"/>
      <c r="IRY34" s="47"/>
      <c r="IRZ34" s="47"/>
      <c r="ISA34" s="47"/>
      <c r="ISB34" s="47"/>
      <c r="ISC34" s="47"/>
      <c r="ISD34" s="47"/>
      <c r="ISE34" s="47"/>
      <c r="ISF34" s="47"/>
      <c r="ISG34" s="47"/>
      <c r="ISH34" s="47"/>
      <c r="ISI34" s="47"/>
      <c r="ISJ34" s="47"/>
      <c r="ISK34" s="47"/>
      <c r="ISL34" s="47"/>
      <c r="ISM34" s="47"/>
      <c r="ISN34" s="47"/>
      <c r="ISO34" s="47"/>
      <c r="ISP34" s="47"/>
      <c r="ISQ34" s="47"/>
      <c r="ISR34" s="47"/>
      <c r="ISS34" s="47"/>
      <c r="IST34" s="47"/>
      <c r="ISU34" s="47"/>
      <c r="ISV34" s="47"/>
      <c r="ISW34" s="47"/>
      <c r="ISX34" s="47"/>
      <c r="ISY34" s="47"/>
      <c r="ISZ34" s="47"/>
      <c r="ITA34" s="47"/>
      <c r="ITB34" s="47"/>
      <c r="ITC34" s="47"/>
      <c r="ITD34" s="47"/>
      <c r="ITE34" s="47"/>
      <c r="ITF34" s="47"/>
      <c r="ITG34" s="47"/>
      <c r="ITH34" s="47"/>
      <c r="ITI34" s="47"/>
      <c r="ITJ34" s="47"/>
      <c r="ITK34" s="47"/>
      <c r="ITL34" s="47"/>
      <c r="ITM34" s="47"/>
      <c r="ITN34" s="47"/>
      <c r="ITO34" s="47"/>
      <c r="ITP34" s="47"/>
      <c r="ITQ34" s="47"/>
      <c r="ITR34" s="47"/>
      <c r="ITS34" s="47"/>
      <c r="ITT34" s="47"/>
      <c r="ITU34" s="47"/>
      <c r="ITV34" s="47"/>
      <c r="ITW34" s="47"/>
      <c r="ITX34" s="47"/>
      <c r="ITY34" s="47"/>
      <c r="ITZ34" s="47"/>
      <c r="IUA34" s="47"/>
      <c r="IUB34" s="47"/>
      <c r="IUC34" s="47"/>
      <c r="IUD34" s="47"/>
      <c r="IUE34" s="47"/>
      <c r="IUF34" s="47"/>
      <c r="IUG34" s="47"/>
      <c r="IUH34" s="47"/>
      <c r="IUI34" s="47"/>
      <c r="IUJ34" s="47"/>
      <c r="IUK34" s="47"/>
      <c r="IUL34" s="47"/>
      <c r="IUM34" s="47"/>
      <c r="IUN34" s="47"/>
      <c r="IUO34" s="47"/>
      <c r="IUP34" s="47"/>
      <c r="IUQ34" s="47"/>
      <c r="IUR34" s="47"/>
      <c r="IUS34" s="47"/>
      <c r="IUT34" s="47"/>
      <c r="IUU34" s="47"/>
      <c r="IUV34" s="47"/>
      <c r="IUW34" s="47"/>
      <c r="IUX34" s="47"/>
      <c r="IUY34" s="47"/>
      <c r="IUZ34" s="47"/>
      <c r="IVA34" s="47"/>
      <c r="IVB34" s="47"/>
      <c r="IVC34" s="47"/>
      <c r="IVD34" s="47"/>
      <c r="IVE34" s="47"/>
      <c r="IVF34" s="47"/>
      <c r="IVG34" s="47"/>
      <c r="IVH34" s="47"/>
      <c r="IVI34" s="47"/>
      <c r="IVJ34" s="47"/>
      <c r="IVK34" s="47"/>
      <c r="IVL34" s="47"/>
      <c r="IVM34" s="47"/>
      <c r="IVN34" s="47"/>
      <c r="IVO34" s="47"/>
      <c r="IVP34" s="47"/>
      <c r="IVQ34" s="47"/>
      <c r="IVR34" s="47"/>
      <c r="IVS34" s="47"/>
      <c r="IVT34" s="47"/>
      <c r="IVU34" s="47"/>
      <c r="IVV34" s="47"/>
      <c r="IVW34" s="47"/>
      <c r="IVX34" s="47"/>
      <c r="IVY34" s="47"/>
      <c r="IVZ34" s="47"/>
      <c r="IWA34" s="47"/>
      <c r="IWB34" s="47"/>
      <c r="IWC34" s="47"/>
      <c r="IWD34" s="47"/>
      <c r="IWE34" s="47"/>
      <c r="IWF34" s="47"/>
      <c r="IWG34" s="47"/>
      <c r="IWH34" s="47"/>
      <c r="IWI34" s="47"/>
      <c r="IWJ34" s="47"/>
      <c r="IWK34" s="47"/>
      <c r="IWL34" s="47"/>
      <c r="IWM34" s="47"/>
      <c r="IWN34" s="47"/>
      <c r="IWO34" s="47"/>
      <c r="IWP34" s="47"/>
      <c r="IWQ34" s="47"/>
      <c r="IWR34" s="47"/>
      <c r="IWS34" s="47"/>
      <c r="IWT34" s="47"/>
      <c r="IWU34" s="47"/>
      <c r="IWV34" s="47"/>
      <c r="IWW34" s="47"/>
      <c r="IWX34" s="47"/>
      <c r="IWY34" s="47"/>
      <c r="IWZ34" s="47"/>
      <c r="IXA34" s="47"/>
      <c r="IXB34" s="47"/>
      <c r="IXC34" s="47"/>
      <c r="IXD34" s="47"/>
      <c r="IXE34" s="47"/>
      <c r="IXF34" s="47"/>
      <c r="IXG34" s="47"/>
      <c r="IXH34" s="47"/>
      <c r="IXI34" s="47"/>
      <c r="IXJ34" s="47"/>
      <c r="IXK34" s="47"/>
      <c r="IXL34" s="47"/>
      <c r="IXM34" s="47"/>
      <c r="IXN34" s="47"/>
      <c r="IXO34" s="47"/>
      <c r="IXP34" s="47"/>
      <c r="IXQ34" s="47"/>
      <c r="IXR34" s="47"/>
      <c r="IXS34" s="47"/>
      <c r="IXT34" s="47"/>
      <c r="IXU34" s="47"/>
      <c r="IXV34" s="47"/>
      <c r="IXW34" s="47"/>
      <c r="IXX34" s="47"/>
      <c r="IXY34" s="47"/>
      <c r="IXZ34" s="47"/>
      <c r="IYA34" s="47"/>
      <c r="IYB34" s="47"/>
      <c r="IYC34" s="47"/>
      <c r="IYD34" s="47"/>
      <c r="IYE34" s="47"/>
      <c r="IYF34" s="47"/>
      <c r="IYG34" s="47"/>
      <c r="IYH34" s="47"/>
      <c r="IYI34" s="47"/>
      <c r="IYJ34" s="47"/>
      <c r="IYK34" s="47"/>
      <c r="IYL34" s="47"/>
      <c r="IYM34" s="47"/>
      <c r="IYN34" s="47"/>
      <c r="IYO34" s="47"/>
      <c r="IYP34" s="47"/>
      <c r="IYQ34" s="47"/>
      <c r="IYR34" s="47"/>
      <c r="IYS34" s="47"/>
      <c r="IYT34" s="47"/>
      <c r="IYU34" s="47"/>
      <c r="IYV34" s="47"/>
      <c r="IYW34" s="47"/>
      <c r="IYX34" s="47"/>
      <c r="IYY34" s="47"/>
      <c r="IYZ34" s="47"/>
      <c r="IZA34" s="47"/>
      <c r="IZB34" s="47"/>
      <c r="IZC34" s="47"/>
      <c r="IZD34" s="47"/>
      <c r="IZE34" s="47"/>
      <c r="IZF34" s="47"/>
      <c r="IZG34" s="47"/>
      <c r="IZH34" s="47"/>
      <c r="IZI34" s="47"/>
      <c r="IZJ34" s="47"/>
      <c r="IZK34" s="47"/>
      <c r="IZL34" s="47"/>
      <c r="IZM34" s="47"/>
      <c r="IZN34" s="47"/>
      <c r="IZO34" s="47"/>
      <c r="IZP34" s="47"/>
      <c r="IZQ34" s="47"/>
      <c r="IZR34" s="47"/>
      <c r="IZS34" s="47"/>
      <c r="IZT34" s="47"/>
      <c r="IZU34" s="47"/>
      <c r="IZV34" s="47"/>
      <c r="IZW34" s="47"/>
      <c r="IZX34" s="47"/>
      <c r="IZY34" s="47"/>
      <c r="IZZ34" s="47"/>
      <c r="JAA34" s="47"/>
      <c r="JAB34" s="47"/>
      <c r="JAC34" s="47"/>
      <c r="JAD34" s="47"/>
      <c r="JAE34" s="47"/>
      <c r="JAF34" s="47"/>
      <c r="JAG34" s="47"/>
      <c r="JAH34" s="47"/>
      <c r="JAI34" s="47"/>
      <c r="JAJ34" s="47"/>
      <c r="JAK34" s="47"/>
      <c r="JAL34" s="47"/>
      <c r="JAM34" s="47"/>
      <c r="JAN34" s="47"/>
      <c r="JAO34" s="47"/>
      <c r="JAP34" s="47"/>
      <c r="JAQ34" s="47"/>
      <c r="JAR34" s="47"/>
      <c r="JAS34" s="47"/>
      <c r="JAT34" s="47"/>
      <c r="JAU34" s="47"/>
      <c r="JAV34" s="47"/>
      <c r="JAW34" s="47"/>
      <c r="JAX34" s="47"/>
      <c r="JAY34" s="47"/>
      <c r="JAZ34" s="47"/>
      <c r="JBA34" s="47"/>
      <c r="JBB34" s="47"/>
      <c r="JBC34" s="47"/>
      <c r="JBD34" s="47"/>
      <c r="JBE34" s="47"/>
      <c r="JBF34" s="47"/>
      <c r="JBG34" s="47"/>
      <c r="JBH34" s="47"/>
      <c r="JBI34" s="47"/>
      <c r="JBJ34" s="47"/>
      <c r="JBK34" s="47"/>
      <c r="JBL34" s="47"/>
      <c r="JBM34" s="47"/>
      <c r="JBN34" s="47"/>
      <c r="JBO34" s="47"/>
      <c r="JBP34" s="47"/>
      <c r="JBQ34" s="47"/>
      <c r="JBR34" s="47"/>
      <c r="JBS34" s="47"/>
      <c r="JBT34" s="47"/>
      <c r="JBU34" s="47"/>
      <c r="JBV34" s="47"/>
      <c r="JBW34" s="47"/>
      <c r="JBX34" s="47"/>
      <c r="JBY34" s="47"/>
      <c r="JBZ34" s="47"/>
      <c r="JCA34" s="47"/>
      <c r="JCB34" s="47"/>
      <c r="JCC34" s="47"/>
      <c r="JCD34" s="47"/>
      <c r="JCE34" s="47"/>
      <c r="JCF34" s="47"/>
      <c r="JCG34" s="47"/>
      <c r="JCH34" s="47"/>
      <c r="JCI34" s="47"/>
      <c r="JCJ34" s="47"/>
      <c r="JCK34" s="47"/>
      <c r="JCL34" s="47"/>
      <c r="JCM34" s="47"/>
      <c r="JCN34" s="47"/>
      <c r="JCO34" s="47"/>
      <c r="JCP34" s="47"/>
      <c r="JCQ34" s="47"/>
      <c r="JCR34" s="47"/>
      <c r="JCS34" s="47"/>
      <c r="JCT34" s="47"/>
      <c r="JCU34" s="47"/>
      <c r="JCV34" s="47"/>
      <c r="JCW34" s="47"/>
      <c r="JCX34" s="47"/>
      <c r="JCY34" s="47"/>
      <c r="JCZ34" s="47"/>
      <c r="JDA34" s="47"/>
      <c r="JDB34" s="47"/>
      <c r="JDC34" s="47"/>
      <c r="JDD34" s="47"/>
      <c r="JDE34" s="47"/>
      <c r="JDF34" s="47"/>
      <c r="JDG34" s="47"/>
      <c r="JDH34" s="47"/>
      <c r="JDI34" s="47"/>
      <c r="JDJ34" s="47"/>
      <c r="JDK34" s="47"/>
      <c r="JDL34" s="47"/>
      <c r="JDM34" s="47"/>
      <c r="JDN34" s="47"/>
      <c r="JDO34" s="47"/>
      <c r="JDP34" s="47"/>
      <c r="JDQ34" s="47"/>
      <c r="JDR34" s="47"/>
      <c r="JDS34" s="47"/>
      <c r="JDT34" s="47"/>
      <c r="JDU34" s="47"/>
      <c r="JDV34" s="47"/>
      <c r="JDW34" s="47"/>
      <c r="JDX34" s="47"/>
      <c r="JDY34" s="47"/>
      <c r="JDZ34" s="47"/>
      <c r="JEA34" s="47"/>
      <c r="JEB34" s="47"/>
      <c r="JEC34" s="47"/>
      <c r="JED34" s="47"/>
      <c r="JEE34" s="47"/>
      <c r="JEF34" s="47"/>
      <c r="JEG34" s="47"/>
      <c r="JEH34" s="47"/>
      <c r="JEI34" s="47"/>
      <c r="JEJ34" s="47"/>
      <c r="JEK34" s="47"/>
      <c r="JEL34" s="47"/>
      <c r="JEM34" s="47"/>
      <c r="JEN34" s="47"/>
      <c r="JEO34" s="47"/>
      <c r="JEP34" s="47"/>
      <c r="JEQ34" s="47"/>
      <c r="JER34" s="47"/>
      <c r="JES34" s="47"/>
      <c r="JET34" s="47"/>
      <c r="JEU34" s="47"/>
      <c r="JEV34" s="47"/>
      <c r="JEW34" s="47"/>
      <c r="JEX34" s="47"/>
      <c r="JEY34" s="47"/>
      <c r="JEZ34" s="47"/>
      <c r="JFA34" s="47"/>
      <c r="JFB34" s="47"/>
      <c r="JFC34" s="47"/>
      <c r="JFD34" s="47"/>
      <c r="JFE34" s="47"/>
      <c r="JFF34" s="47"/>
      <c r="JFG34" s="47"/>
      <c r="JFH34" s="47"/>
      <c r="JFI34" s="47"/>
      <c r="JFJ34" s="47"/>
      <c r="JFK34" s="47"/>
      <c r="JFL34" s="47"/>
      <c r="JFM34" s="47"/>
      <c r="JFN34" s="47"/>
      <c r="JFO34" s="47"/>
      <c r="JFP34" s="47"/>
      <c r="JFQ34" s="47"/>
      <c r="JFR34" s="47"/>
      <c r="JFS34" s="47"/>
      <c r="JFT34" s="47"/>
      <c r="JFU34" s="47"/>
      <c r="JFV34" s="47"/>
      <c r="JFW34" s="47"/>
      <c r="JFX34" s="47"/>
      <c r="JFY34" s="47"/>
      <c r="JFZ34" s="47"/>
      <c r="JGA34" s="47"/>
      <c r="JGB34" s="47"/>
      <c r="JGC34" s="47"/>
      <c r="JGD34" s="47"/>
      <c r="JGE34" s="47"/>
      <c r="JGF34" s="47"/>
      <c r="JGG34" s="47"/>
      <c r="JGH34" s="47"/>
      <c r="JGI34" s="47"/>
      <c r="JGJ34" s="47"/>
      <c r="JGK34" s="47"/>
      <c r="JGL34" s="47"/>
      <c r="JGM34" s="47"/>
      <c r="JGN34" s="47"/>
      <c r="JGO34" s="47"/>
      <c r="JGP34" s="47"/>
      <c r="JGQ34" s="47"/>
      <c r="JGR34" s="47"/>
      <c r="JGS34" s="47"/>
      <c r="JGT34" s="47"/>
      <c r="JGU34" s="47"/>
      <c r="JGV34" s="47"/>
      <c r="JGW34" s="47"/>
      <c r="JGX34" s="47"/>
      <c r="JGY34" s="47"/>
      <c r="JGZ34" s="47"/>
      <c r="JHA34" s="47"/>
      <c r="JHB34" s="47"/>
      <c r="JHC34" s="47"/>
      <c r="JHD34" s="47"/>
      <c r="JHE34" s="47"/>
      <c r="JHF34" s="47"/>
      <c r="JHG34" s="47"/>
      <c r="JHH34" s="47"/>
      <c r="JHI34" s="47"/>
      <c r="JHJ34" s="47"/>
      <c r="JHK34" s="47"/>
      <c r="JHL34" s="47"/>
      <c r="JHM34" s="47"/>
      <c r="JHN34" s="47"/>
      <c r="JHO34" s="47"/>
      <c r="JHP34" s="47"/>
      <c r="JHQ34" s="47"/>
      <c r="JHR34" s="47"/>
      <c r="JHS34" s="47"/>
      <c r="JHT34" s="47"/>
      <c r="JHU34" s="47"/>
      <c r="JHV34" s="47"/>
      <c r="JHW34" s="47"/>
      <c r="JHX34" s="47"/>
      <c r="JHY34" s="47"/>
      <c r="JHZ34" s="47"/>
      <c r="JIA34" s="47"/>
      <c r="JIB34" s="47"/>
      <c r="JIC34" s="47"/>
      <c r="JID34" s="47"/>
      <c r="JIE34" s="47"/>
      <c r="JIF34" s="47"/>
      <c r="JIG34" s="47"/>
      <c r="JIH34" s="47"/>
      <c r="JII34" s="47"/>
      <c r="JIJ34" s="47"/>
      <c r="JIK34" s="47"/>
      <c r="JIL34" s="47"/>
      <c r="JIM34" s="47"/>
      <c r="JIN34" s="47"/>
      <c r="JIO34" s="47"/>
      <c r="JIP34" s="47"/>
      <c r="JIQ34" s="47"/>
      <c r="JIR34" s="47"/>
      <c r="JIS34" s="47"/>
      <c r="JIT34" s="47"/>
      <c r="JIU34" s="47"/>
      <c r="JIV34" s="47"/>
      <c r="JIW34" s="47"/>
      <c r="JIX34" s="47"/>
      <c r="JIY34" s="47"/>
      <c r="JIZ34" s="47"/>
      <c r="JJA34" s="47"/>
      <c r="JJB34" s="47"/>
      <c r="JJC34" s="47"/>
      <c r="JJD34" s="47"/>
      <c r="JJE34" s="47"/>
      <c r="JJF34" s="47"/>
      <c r="JJG34" s="47"/>
      <c r="JJH34" s="47"/>
      <c r="JJI34" s="47"/>
      <c r="JJJ34" s="47"/>
      <c r="JJK34" s="47"/>
      <c r="JJL34" s="47"/>
      <c r="JJM34" s="47"/>
      <c r="JJN34" s="47"/>
      <c r="JJO34" s="47"/>
      <c r="JJP34" s="47"/>
      <c r="JJQ34" s="47"/>
      <c r="JJR34" s="47"/>
      <c r="JJS34" s="47"/>
      <c r="JJT34" s="47"/>
      <c r="JJU34" s="47"/>
      <c r="JJV34" s="47"/>
      <c r="JJW34" s="47"/>
      <c r="JJX34" s="47"/>
      <c r="JJY34" s="47"/>
      <c r="JJZ34" s="47"/>
      <c r="JKA34" s="47"/>
      <c r="JKB34" s="47"/>
      <c r="JKC34" s="47"/>
      <c r="JKD34" s="47"/>
      <c r="JKE34" s="47"/>
      <c r="JKF34" s="47"/>
      <c r="JKG34" s="47"/>
      <c r="JKH34" s="47"/>
      <c r="JKI34" s="47"/>
      <c r="JKJ34" s="47"/>
      <c r="JKK34" s="47"/>
      <c r="JKL34" s="47"/>
      <c r="JKM34" s="47"/>
      <c r="JKN34" s="47"/>
      <c r="JKO34" s="47"/>
      <c r="JKP34" s="47"/>
      <c r="JKQ34" s="47"/>
      <c r="JKR34" s="47"/>
      <c r="JKS34" s="47"/>
      <c r="JKT34" s="47"/>
      <c r="JKU34" s="47"/>
      <c r="JKV34" s="47"/>
      <c r="JKW34" s="47"/>
      <c r="JKX34" s="47"/>
      <c r="JKY34" s="47"/>
      <c r="JKZ34" s="47"/>
      <c r="JLA34" s="47"/>
      <c r="JLB34" s="47"/>
      <c r="JLC34" s="47"/>
      <c r="JLD34" s="47"/>
      <c r="JLE34" s="47"/>
      <c r="JLF34" s="47"/>
      <c r="JLG34" s="47"/>
      <c r="JLH34" s="47"/>
      <c r="JLI34" s="47"/>
      <c r="JLJ34" s="47"/>
      <c r="JLK34" s="47"/>
      <c r="JLL34" s="47"/>
      <c r="JLM34" s="47"/>
      <c r="JLN34" s="47"/>
      <c r="JLO34" s="47"/>
      <c r="JLP34" s="47"/>
      <c r="JLQ34" s="47"/>
      <c r="JLR34" s="47"/>
      <c r="JLS34" s="47"/>
      <c r="JLT34" s="47"/>
      <c r="JLU34" s="47"/>
      <c r="JLV34" s="47"/>
      <c r="JLW34" s="47"/>
      <c r="JLX34" s="47"/>
      <c r="JLY34" s="47"/>
      <c r="JLZ34" s="47"/>
      <c r="JMA34" s="47"/>
      <c r="JMB34" s="47"/>
      <c r="JMC34" s="47"/>
      <c r="JMD34" s="47"/>
      <c r="JME34" s="47"/>
      <c r="JMF34" s="47"/>
      <c r="JMG34" s="47"/>
      <c r="JMH34" s="47"/>
      <c r="JMI34" s="47"/>
      <c r="JMJ34" s="47"/>
      <c r="JMK34" s="47"/>
      <c r="JML34" s="47"/>
      <c r="JMM34" s="47"/>
      <c r="JMN34" s="47"/>
      <c r="JMO34" s="47"/>
      <c r="JMP34" s="47"/>
      <c r="JMQ34" s="47"/>
      <c r="JMR34" s="47"/>
      <c r="JMS34" s="47"/>
      <c r="JMT34" s="47"/>
      <c r="JMU34" s="47"/>
      <c r="JMV34" s="47"/>
      <c r="JMW34" s="47"/>
      <c r="JMX34" s="47"/>
      <c r="JMY34" s="47"/>
      <c r="JMZ34" s="47"/>
      <c r="JNA34" s="47"/>
      <c r="JNB34" s="47"/>
      <c r="JNC34" s="47"/>
      <c r="JND34" s="47"/>
      <c r="JNE34" s="47"/>
      <c r="JNF34" s="47"/>
      <c r="JNG34" s="47"/>
      <c r="JNH34" s="47"/>
      <c r="JNI34" s="47"/>
      <c r="JNJ34" s="47"/>
      <c r="JNK34" s="47"/>
      <c r="JNL34" s="47"/>
      <c r="JNM34" s="47"/>
      <c r="JNN34" s="47"/>
      <c r="JNO34" s="47"/>
      <c r="JNP34" s="47"/>
      <c r="JNQ34" s="47"/>
      <c r="JNR34" s="47"/>
      <c r="JNS34" s="47"/>
      <c r="JNT34" s="47"/>
      <c r="JNU34" s="47"/>
      <c r="JNV34" s="47"/>
      <c r="JNW34" s="47"/>
      <c r="JNX34" s="47"/>
      <c r="JNY34" s="47"/>
      <c r="JNZ34" s="47"/>
      <c r="JOA34" s="47"/>
      <c r="JOB34" s="47"/>
      <c r="JOC34" s="47"/>
      <c r="JOD34" s="47"/>
      <c r="JOE34" s="47"/>
      <c r="JOF34" s="47"/>
      <c r="JOG34" s="47"/>
      <c r="JOH34" s="47"/>
      <c r="JOI34" s="47"/>
      <c r="JOJ34" s="47"/>
      <c r="JOK34" s="47"/>
      <c r="JOL34" s="47"/>
      <c r="JOM34" s="47"/>
      <c r="JON34" s="47"/>
      <c r="JOO34" s="47"/>
      <c r="JOP34" s="47"/>
      <c r="JOQ34" s="47"/>
      <c r="JOR34" s="47"/>
      <c r="JOS34" s="47"/>
      <c r="JOT34" s="47"/>
      <c r="JOU34" s="47"/>
      <c r="JOV34" s="47"/>
      <c r="JOW34" s="47"/>
      <c r="JOX34" s="47"/>
      <c r="JOY34" s="47"/>
      <c r="JOZ34" s="47"/>
      <c r="JPA34" s="47"/>
      <c r="JPB34" s="47"/>
      <c r="JPC34" s="47"/>
      <c r="JPD34" s="47"/>
      <c r="JPE34" s="47"/>
      <c r="JPF34" s="47"/>
      <c r="JPG34" s="47"/>
      <c r="JPH34" s="47"/>
      <c r="JPI34" s="47"/>
      <c r="JPJ34" s="47"/>
      <c r="JPK34" s="47"/>
      <c r="JPL34" s="47"/>
      <c r="JPM34" s="47"/>
      <c r="JPN34" s="47"/>
      <c r="JPO34" s="47"/>
      <c r="JPP34" s="47"/>
      <c r="JPQ34" s="47"/>
      <c r="JPR34" s="47"/>
      <c r="JPS34" s="47"/>
      <c r="JPT34" s="47"/>
      <c r="JPU34" s="47"/>
      <c r="JPV34" s="47"/>
      <c r="JPW34" s="47"/>
      <c r="JPX34" s="47"/>
      <c r="JPY34" s="47"/>
      <c r="JPZ34" s="47"/>
      <c r="JQA34" s="47"/>
      <c r="JQB34" s="47"/>
      <c r="JQC34" s="47"/>
      <c r="JQD34" s="47"/>
      <c r="JQE34" s="47"/>
      <c r="JQF34" s="47"/>
      <c r="JQG34" s="47"/>
      <c r="JQH34" s="47"/>
      <c r="JQI34" s="47"/>
      <c r="JQJ34" s="47"/>
      <c r="JQK34" s="47"/>
      <c r="JQL34" s="47"/>
      <c r="JQM34" s="47"/>
      <c r="JQN34" s="47"/>
      <c r="JQO34" s="47"/>
      <c r="JQP34" s="47"/>
      <c r="JQQ34" s="47"/>
      <c r="JQR34" s="47"/>
      <c r="JQS34" s="47"/>
      <c r="JQT34" s="47"/>
      <c r="JQU34" s="47"/>
      <c r="JQV34" s="47"/>
      <c r="JQW34" s="47"/>
      <c r="JQX34" s="47"/>
      <c r="JQY34" s="47"/>
      <c r="JQZ34" s="47"/>
      <c r="JRA34" s="47"/>
      <c r="JRB34" s="47"/>
      <c r="JRC34" s="47"/>
      <c r="JRD34" s="47"/>
      <c r="JRE34" s="47"/>
      <c r="JRF34" s="47"/>
      <c r="JRG34" s="47"/>
      <c r="JRH34" s="47"/>
      <c r="JRI34" s="47"/>
      <c r="JRJ34" s="47"/>
      <c r="JRK34" s="47"/>
      <c r="JRL34" s="47"/>
      <c r="JRM34" s="47"/>
      <c r="JRN34" s="47"/>
      <c r="JRO34" s="47"/>
      <c r="JRP34" s="47"/>
      <c r="JRQ34" s="47"/>
      <c r="JRR34" s="47"/>
      <c r="JRS34" s="47"/>
      <c r="JRT34" s="47"/>
      <c r="JRU34" s="47"/>
      <c r="JRV34" s="47"/>
      <c r="JRW34" s="47"/>
      <c r="JRX34" s="47"/>
      <c r="JRY34" s="47"/>
      <c r="JRZ34" s="47"/>
      <c r="JSA34" s="47"/>
      <c r="JSB34" s="47"/>
      <c r="JSC34" s="47"/>
      <c r="JSD34" s="47"/>
      <c r="JSE34" s="47"/>
      <c r="JSF34" s="47"/>
      <c r="JSG34" s="47"/>
      <c r="JSH34" s="47"/>
      <c r="JSI34" s="47"/>
      <c r="JSJ34" s="47"/>
      <c r="JSK34" s="47"/>
      <c r="JSL34" s="47"/>
      <c r="JSM34" s="47"/>
      <c r="JSN34" s="47"/>
      <c r="JSO34" s="47"/>
      <c r="JSP34" s="47"/>
      <c r="JSQ34" s="47"/>
      <c r="JSR34" s="47"/>
      <c r="JSS34" s="47"/>
      <c r="JST34" s="47"/>
      <c r="JSU34" s="47"/>
      <c r="JSV34" s="47"/>
      <c r="JSW34" s="47"/>
      <c r="JSX34" s="47"/>
      <c r="JSY34" s="47"/>
      <c r="JSZ34" s="47"/>
      <c r="JTA34" s="47"/>
      <c r="JTB34" s="47"/>
      <c r="JTC34" s="47"/>
      <c r="JTD34" s="47"/>
      <c r="JTE34" s="47"/>
      <c r="JTF34" s="47"/>
      <c r="JTG34" s="47"/>
      <c r="JTH34" s="47"/>
      <c r="JTI34" s="47"/>
      <c r="JTJ34" s="47"/>
      <c r="JTK34" s="47"/>
      <c r="JTL34" s="47"/>
      <c r="JTM34" s="47"/>
      <c r="JTN34" s="47"/>
      <c r="JTO34" s="47"/>
      <c r="JTP34" s="47"/>
      <c r="JTQ34" s="47"/>
      <c r="JTR34" s="47"/>
      <c r="JTS34" s="47"/>
      <c r="JTT34" s="47"/>
      <c r="JTU34" s="47"/>
      <c r="JTV34" s="47"/>
      <c r="JTW34" s="47"/>
      <c r="JTX34" s="47"/>
      <c r="JTY34" s="47"/>
      <c r="JTZ34" s="47"/>
      <c r="JUA34" s="47"/>
      <c r="JUB34" s="47"/>
      <c r="JUC34" s="47"/>
      <c r="JUD34" s="47"/>
      <c r="JUE34" s="47"/>
      <c r="JUF34" s="47"/>
      <c r="JUG34" s="47"/>
      <c r="JUH34" s="47"/>
      <c r="JUI34" s="47"/>
      <c r="JUJ34" s="47"/>
      <c r="JUK34" s="47"/>
      <c r="JUL34" s="47"/>
      <c r="JUM34" s="47"/>
      <c r="JUN34" s="47"/>
      <c r="JUO34" s="47"/>
      <c r="JUP34" s="47"/>
      <c r="JUQ34" s="47"/>
      <c r="JUR34" s="47"/>
      <c r="JUS34" s="47"/>
      <c r="JUT34" s="47"/>
      <c r="JUU34" s="47"/>
      <c r="JUV34" s="47"/>
      <c r="JUW34" s="47"/>
      <c r="JUX34" s="47"/>
      <c r="JUY34" s="47"/>
      <c r="JUZ34" s="47"/>
      <c r="JVA34" s="47"/>
      <c r="JVB34" s="47"/>
      <c r="JVC34" s="47"/>
      <c r="JVD34" s="47"/>
      <c r="JVE34" s="47"/>
      <c r="JVF34" s="47"/>
      <c r="JVG34" s="47"/>
      <c r="JVH34" s="47"/>
      <c r="JVI34" s="47"/>
      <c r="JVJ34" s="47"/>
      <c r="JVK34" s="47"/>
      <c r="JVL34" s="47"/>
      <c r="JVM34" s="47"/>
      <c r="JVN34" s="47"/>
      <c r="JVO34" s="47"/>
      <c r="JVP34" s="47"/>
      <c r="JVQ34" s="47"/>
      <c r="JVR34" s="47"/>
      <c r="JVS34" s="47"/>
      <c r="JVT34" s="47"/>
      <c r="JVU34" s="47"/>
      <c r="JVV34" s="47"/>
      <c r="JVW34" s="47"/>
      <c r="JVX34" s="47"/>
      <c r="JVY34" s="47"/>
      <c r="JVZ34" s="47"/>
      <c r="JWA34" s="47"/>
      <c r="JWB34" s="47"/>
      <c r="JWC34" s="47"/>
      <c r="JWD34" s="47"/>
      <c r="JWE34" s="47"/>
      <c r="JWF34" s="47"/>
      <c r="JWG34" s="47"/>
      <c r="JWH34" s="47"/>
      <c r="JWI34" s="47"/>
      <c r="JWJ34" s="47"/>
      <c r="JWK34" s="47"/>
      <c r="JWL34" s="47"/>
      <c r="JWM34" s="47"/>
      <c r="JWN34" s="47"/>
      <c r="JWO34" s="47"/>
      <c r="JWP34" s="47"/>
      <c r="JWQ34" s="47"/>
      <c r="JWR34" s="47"/>
      <c r="JWS34" s="47"/>
      <c r="JWT34" s="47"/>
      <c r="JWU34" s="47"/>
      <c r="JWV34" s="47"/>
      <c r="JWW34" s="47"/>
      <c r="JWX34" s="47"/>
      <c r="JWY34" s="47"/>
      <c r="JWZ34" s="47"/>
      <c r="JXA34" s="47"/>
      <c r="JXB34" s="47"/>
      <c r="JXC34" s="47"/>
      <c r="JXD34" s="47"/>
      <c r="JXE34" s="47"/>
      <c r="JXF34" s="47"/>
      <c r="JXG34" s="47"/>
      <c r="JXH34" s="47"/>
      <c r="JXI34" s="47"/>
      <c r="JXJ34" s="47"/>
      <c r="JXK34" s="47"/>
      <c r="JXL34" s="47"/>
      <c r="JXM34" s="47"/>
      <c r="JXN34" s="47"/>
      <c r="JXO34" s="47"/>
      <c r="JXP34" s="47"/>
      <c r="JXQ34" s="47"/>
      <c r="JXR34" s="47"/>
      <c r="JXS34" s="47"/>
      <c r="JXT34" s="47"/>
      <c r="JXU34" s="47"/>
      <c r="JXV34" s="47"/>
      <c r="JXW34" s="47"/>
      <c r="JXX34" s="47"/>
      <c r="JXY34" s="47"/>
      <c r="JXZ34" s="47"/>
      <c r="JYA34" s="47"/>
      <c r="JYB34" s="47"/>
      <c r="JYC34" s="47"/>
      <c r="JYD34" s="47"/>
      <c r="JYE34" s="47"/>
      <c r="JYF34" s="47"/>
      <c r="JYG34" s="47"/>
      <c r="JYH34" s="47"/>
      <c r="JYI34" s="47"/>
      <c r="JYJ34" s="47"/>
      <c r="JYK34" s="47"/>
      <c r="JYL34" s="47"/>
      <c r="JYM34" s="47"/>
      <c r="JYN34" s="47"/>
      <c r="JYO34" s="47"/>
      <c r="JYP34" s="47"/>
      <c r="JYQ34" s="47"/>
      <c r="JYR34" s="47"/>
      <c r="JYS34" s="47"/>
      <c r="JYT34" s="47"/>
      <c r="JYU34" s="47"/>
      <c r="JYV34" s="47"/>
      <c r="JYW34" s="47"/>
      <c r="JYX34" s="47"/>
      <c r="JYY34" s="47"/>
      <c r="JYZ34" s="47"/>
      <c r="JZA34" s="47"/>
      <c r="JZB34" s="47"/>
      <c r="JZC34" s="47"/>
      <c r="JZD34" s="47"/>
      <c r="JZE34" s="47"/>
      <c r="JZF34" s="47"/>
      <c r="JZG34" s="47"/>
      <c r="JZH34" s="47"/>
      <c r="JZI34" s="47"/>
      <c r="JZJ34" s="47"/>
      <c r="JZK34" s="47"/>
      <c r="JZL34" s="47"/>
      <c r="JZM34" s="47"/>
      <c r="JZN34" s="47"/>
      <c r="JZO34" s="47"/>
      <c r="JZP34" s="47"/>
      <c r="JZQ34" s="47"/>
      <c r="JZR34" s="47"/>
      <c r="JZS34" s="47"/>
      <c r="JZT34" s="47"/>
      <c r="JZU34" s="47"/>
      <c r="JZV34" s="47"/>
      <c r="JZW34" s="47"/>
      <c r="JZX34" s="47"/>
      <c r="JZY34" s="47"/>
      <c r="JZZ34" s="47"/>
      <c r="KAA34" s="47"/>
      <c r="KAB34" s="47"/>
      <c r="KAC34" s="47"/>
      <c r="KAD34" s="47"/>
      <c r="KAE34" s="47"/>
      <c r="KAF34" s="47"/>
      <c r="KAG34" s="47"/>
      <c r="KAH34" s="47"/>
      <c r="KAI34" s="47"/>
      <c r="KAJ34" s="47"/>
      <c r="KAK34" s="47"/>
      <c r="KAL34" s="47"/>
      <c r="KAM34" s="47"/>
      <c r="KAN34" s="47"/>
      <c r="KAO34" s="47"/>
      <c r="KAP34" s="47"/>
      <c r="KAQ34" s="47"/>
      <c r="KAR34" s="47"/>
      <c r="KAS34" s="47"/>
      <c r="KAT34" s="47"/>
      <c r="KAU34" s="47"/>
      <c r="KAV34" s="47"/>
      <c r="KAW34" s="47"/>
      <c r="KAX34" s="47"/>
      <c r="KAY34" s="47"/>
      <c r="KAZ34" s="47"/>
      <c r="KBA34" s="47"/>
      <c r="KBB34" s="47"/>
      <c r="KBC34" s="47"/>
      <c r="KBD34" s="47"/>
      <c r="KBE34" s="47"/>
      <c r="KBF34" s="47"/>
      <c r="KBG34" s="47"/>
      <c r="KBH34" s="47"/>
      <c r="KBI34" s="47"/>
      <c r="KBJ34" s="47"/>
      <c r="KBK34" s="47"/>
      <c r="KBL34" s="47"/>
      <c r="KBM34" s="47"/>
      <c r="KBN34" s="47"/>
      <c r="KBO34" s="47"/>
      <c r="KBP34" s="47"/>
      <c r="KBQ34" s="47"/>
      <c r="KBR34" s="47"/>
      <c r="KBS34" s="47"/>
      <c r="KBT34" s="47"/>
      <c r="KBU34" s="47"/>
      <c r="KBV34" s="47"/>
      <c r="KBW34" s="47"/>
      <c r="KBX34" s="47"/>
      <c r="KBY34" s="47"/>
      <c r="KBZ34" s="47"/>
      <c r="KCA34" s="47"/>
      <c r="KCB34" s="47"/>
      <c r="KCC34" s="47"/>
      <c r="KCD34" s="47"/>
      <c r="KCE34" s="47"/>
      <c r="KCF34" s="47"/>
      <c r="KCG34" s="47"/>
      <c r="KCH34" s="47"/>
      <c r="KCI34" s="47"/>
      <c r="KCJ34" s="47"/>
      <c r="KCK34" s="47"/>
      <c r="KCL34" s="47"/>
      <c r="KCM34" s="47"/>
      <c r="KCN34" s="47"/>
      <c r="KCO34" s="47"/>
      <c r="KCP34" s="47"/>
      <c r="KCQ34" s="47"/>
      <c r="KCR34" s="47"/>
      <c r="KCS34" s="47"/>
      <c r="KCT34" s="47"/>
      <c r="KCU34" s="47"/>
      <c r="KCV34" s="47"/>
      <c r="KCW34" s="47"/>
      <c r="KCX34" s="47"/>
      <c r="KCY34" s="47"/>
      <c r="KCZ34" s="47"/>
      <c r="KDA34" s="47"/>
      <c r="KDB34" s="47"/>
      <c r="KDC34" s="47"/>
      <c r="KDD34" s="47"/>
      <c r="KDE34" s="47"/>
      <c r="KDF34" s="47"/>
      <c r="KDG34" s="47"/>
      <c r="KDH34" s="47"/>
      <c r="KDI34" s="47"/>
      <c r="KDJ34" s="47"/>
      <c r="KDK34" s="47"/>
      <c r="KDL34" s="47"/>
      <c r="KDM34" s="47"/>
      <c r="KDN34" s="47"/>
      <c r="KDO34" s="47"/>
      <c r="KDP34" s="47"/>
      <c r="KDQ34" s="47"/>
      <c r="KDR34" s="47"/>
      <c r="KDS34" s="47"/>
      <c r="KDT34" s="47"/>
      <c r="KDU34" s="47"/>
      <c r="KDV34" s="47"/>
      <c r="KDW34" s="47"/>
      <c r="KDX34" s="47"/>
      <c r="KDY34" s="47"/>
      <c r="KDZ34" s="47"/>
      <c r="KEA34" s="47"/>
      <c r="KEB34" s="47"/>
      <c r="KEC34" s="47"/>
      <c r="KED34" s="47"/>
      <c r="KEE34" s="47"/>
      <c r="KEF34" s="47"/>
      <c r="KEG34" s="47"/>
      <c r="KEH34" s="47"/>
      <c r="KEI34" s="47"/>
      <c r="KEJ34" s="47"/>
      <c r="KEK34" s="47"/>
      <c r="KEL34" s="47"/>
      <c r="KEM34" s="47"/>
      <c r="KEN34" s="47"/>
      <c r="KEO34" s="47"/>
      <c r="KEP34" s="47"/>
      <c r="KEQ34" s="47"/>
      <c r="KER34" s="47"/>
      <c r="KES34" s="47"/>
      <c r="KET34" s="47"/>
      <c r="KEU34" s="47"/>
      <c r="KEV34" s="47"/>
      <c r="KEW34" s="47"/>
      <c r="KEX34" s="47"/>
      <c r="KEY34" s="47"/>
      <c r="KEZ34" s="47"/>
      <c r="KFA34" s="47"/>
      <c r="KFB34" s="47"/>
      <c r="KFC34" s="47"/>
      <c r="KFD34" s="47"/>
      <c r="KFE34" s="47"/>
      <c r="KFF34" s="47"/>
      <c r="KFG34" s="47"/>
      <c r="KFH34" s="47"/>
      <c r="KFI34" s="47"/>
      <c r="KFJ34" s="47"/>
      <c r="KFK34" s="47"/>
      <c r="KFL34" s="47"/>
      <c r="KFM34" s="47"/>
      <c r="KFN34" s="47"/>
      <c r="KFO34" s="47"/>
      <c r="KFP34" s="47"/>
      <c r="KFQ34" s="47"/>
      <c r="KFR34" s="47"/>
      <c r="KFS34" s="47"/>
      <c r="KFT34" s="47"/>
      <c r="KFU34" s="47"/>
      <c r="KFV34" s="47"/>
      <c r="KFW34" s="47"/>
      <c r="KFX34" s="47"/>
      <c r="KFY34" s="47"/>
      <c r="KFZ34" s="47"/>
      <c r="KGA34" s="47"/>
      <c r="KGB34" s="47"/>
      <c r="KGC34" s="47"/>
      <c r="KGD34" s="47"/>
      <c r="KGE34" s="47"/>
      <c r="KGF34" s="47"/>
      <c r="KGG34" s="47"/>
      <c r="KGH34" s="47"/>
      <c r="KGI34" s="47"/>
      <c r="KGJ34" s="47"/>
      <c r="KGK34" s="47"/>
      <c r="KGL34" s="47"/>
      <c r="KGM34" s="47"/>
      <c r="KGN34" s="47"/>
      <c r="KGO34" s="47"/>
      <c r="KGP34" s="47"/>
      <c r="KGQ34" s="47"/>
      <c r="KGR34" s="47"/>
      <c r="KGS34" s="47"/>
      <c r="KGT34" s="47"/>
      <c r="KGU34" s="47"/>
      <c r="KGV34" s="47"/>
      <c r="KGW34" s="47"/>
      <c r="KGX34" s="47"/>
      <c r="KGY34" s="47"/>
      <c r="KGZ34" s="47"/>
      <c r="KHA34" s="47"/>
      <c r="KHB34" s="47"/>
      <c r="KHC34" s="47"/>
      <c r="KHD34" s="47"/>
      <c r="KHE34" s="47"/>
      <c r="KHF34" s="47"/>
      <c r="KHG34" s="47"/>
      <c r="KHH34" s="47"/>
      <c r="KHI34" s="47"/>
      <c r="KHJ34" s="47"/>
      <c r="KHK34" s="47"/>
      <c r="KHL34" s="47"/>
      <c r="KHM34" s="47"/>
      <c r="KHN34" s="47"/>
      <c r="KHO34" s="47"/>
      <c r="KHP34" s="47"/>
      <c r="KHQ34" s="47"/>
      <c r="KHR34" s="47"/>
      <c r="KHS34" s="47"/>
      <c r="KHT34" s="47"/>
      <c r="KHU34" s="47"/>
      <c r="KHV34" s="47"/>
      <c r="KHW34" s="47"/>
      <c r="KHX34" s="47"/>
      <c r="KHY34" s="47"/>
      <c r="KHZ34" s="47"/>
      <c r="KIA34" s="47"/>
      <c r="KIB34" s="47"/>
      <c r="KIC34" s="47"/>
      <c r="KID34" s="47"/>
      <c r="KIE34" s="47"/>
      <c r="KIF34" s="47"/>
      <c r="KIG34" s="47"/>
      <c r="KIH34" s="47"/>
      <c r="KII34" s="47"/>
      <c r="KIJ34" s="47"/>
      <c r="KIK34" s="47"/>
      <c r="KIL34" s="47"/>
      <c r="KIM34" s="47"/>
      <c r="KIN34" s="47"/>
      <c r="KIO34" s="47"/>
      <c r="KIP34" s="47"/>
      <c r="KIQ34" s="47"/>
      <c r="KIR34" s="47"/>
      <c r="KIS34" s="47"/>
      <c r="KIT34" s="47"/>
      <c r="KIU34" s="47"/>
      <c r="KIV34" s="47"/>
      <c r="KIW34" s="47"/>
      <c r="KIX34" s="47"/>
      <c r="KIY34" s="47"/>
      <c r="KIZ34" s="47"/>
      <c r="KJA34" s="47"/>
      <c r="KJB34" s="47"/>
      <c r="KJC34" s="47"/>
      <c r="KJD34" s="47"/>
      <c r="KJE34" s="47"/>
      <c r="KJF34" s="47"/>
      <c r="KJG34" s="47"/>
      <c r="KJH34" s="47"/>
      <c r="KJI34" s="47"/>
      <c r="KJJ34" s="47"/>
      <c r="KJK34" s="47"/>
      <c r="KJL34" s="47"/>
      <c r="KJM34" s="47"/>
      <c r="KJN34" s="47"/>
      <c r="KJO34" s="47"/>
      <c r="KJP34" s="47"/>
      <c r="KJQ34" s="47"/>
      <c r="KJR34" s="47"/>
      <c r="KJS34" s="47"/>
      <c r="KJT34" s="47"/>
      <c r="KJU34" s="47"/>
      <c r="KJV34" s="47"/>
      <c r="KJW34" s="47"/>
      <c r="KJX34" s="47"/>
      <c r="KJY34" s="47"/>
      <c r="KJZ34" s="47"/>
      <c r="KKA34" s="47"/>
      <c r="KKB34" s="47"/>
      <c r="KKC34" s="47"/>
      <c r="KKD34" s="47"/>
      <c r="KKE34" s="47"/>
      <c r="KKF34" s="47"/>
      <c r="KKG34" s="47"/>
      <c r="KKH34" s="47"/>
      <c r="KKI34" s="47"/>
      <c r="KKJ34" s="47"/>
      <c r="KKK34" s="47"/>
      <c r="KKL34" s="47"/>
      <c r="KKM34" s="47"/>
      <c r="KKN34" s="47"/>
      <c r="KKO34" s="47"/>
      <c r="KKP34" s="47"/>
      <c r="KKQ34" s="47"/>
      <c r="KKR34" s="47"/>
      <c r="KKS34" s="47"/>
      <c r="KKT34" s="47"/>
      <c r="KKU34" s="47"/>
      <c r="KKV34" s="47"/>
      <c r="KKW34" s="47"/>
      <c r="KKX34" s="47"/>
      <c r="KKY34" s="47"/>
      <c r="KKZ34" s="47"/>
      <c r="KLA34" s="47"/>
      <c r="KLB34" s="47"/>
      <c r="KLC34" s="47"/>
      <c r="KLD34" s="47"/>
      <c r="KLE34" s="47"/>
      <c r="KLF34" s="47"/>
      <c r="KLG34" s="47"/>
      <c r="KLH34" s="47"/>
      <c r="KLI34" s="47"/>
      <c r="KLJ34" s="47"/>
      <c r="KLK34" s="47"/>
      <c r="KLL34" s="47"/>
      <c r="KLM34" s="47"/>
      <c r="KLN34" s="47"/>
      <c r="KLO34" s="47"/>
      <c r="KLP34" s="47"/>
      <c r="KLQ34" s="47"/>
      <c r="KLR34" s="47"/>
      <c r="KLS34" s="47"/>
      <c r="KLT34" s="47"/>
      <c r="KLU34" s="47"/>
      <c r="KLV34" s="47"/>
      <c r="KLW34" s="47"/>
      <c r="KLX34" s="47"/>
      <c r="KLY34" s="47"/>
      <c r="KLZ34" s="47"/>
      <c r="KMA34" s="47"/>
      <c r="KMB34" s="47"/>
      <c r="KMC34" s="47"/>
      <c r="KMD34" s="47"/>
      <c r="KME34" s="47"/>
      <c r="KMF34" s="47"/>
      <c r="KMG34" s="47"/>
      <c r="KMH34" s="47"/>
      <c r="KMI34" s="47"/>
      <c r="KMJ34" s="47"/>
      <c r="KMK34" s="47"/>
      <c r="KML34" s="47"/>
      <c r="KMM34" s="47"/>
      <c r="KMN34" s="47"/>
      <c r="KMO34" s="47"/>
      <c r="KMP34" s="47"/>
      <c r="KMQ34" s="47"/>
      <c r="KMR34" s="47"/>
      <c r="KMS34" s="47"/>
      <c r="KMT34" s="47"/>
      <c r="KMU34" s="47"/>
      <c r="KMV34" s="47"/>
      <c r="KMW34" s="47"/>
      <c r="KMX34" s="47"/>
      <c r="KMY34" s="47"/>
      <c r="KMZ34" s="47"/>
      <c r="KNA34" s="47"/>
      <c r="KNB34" s="47"/>
      <c r="KNC34" s="47"/>
      <c r="KND34" s="47"/>
      <c r="KNE34" s="47"/>
      <c r="KNF34" s="47"/>
      <c r="KNG34" s="47"/>
      <c r="KNH34" s="47"/>
      <c r="KNI34" s="47"/>
      <c r="KNJ34" s="47"/>
      <c r="KNK34" s="47"/>
      <c r="KNL34" s="47"/>
      <c r="KNM34" s="47"/>
      <c r="KNN34" s="47"/>
      <c r="KNO34" s="47"/>
      <c r="KNP34" s="47"/>
      <c r="KNQ34" s="47"/>
      <c r="KNR34" s="47"/>
      <c r="KNS34" s="47"/>
      <c r="KNT34" s="47"/>
      <c r="KNU34" s="47"/>
      <c r="KNV34" s="47"/>
      <c r="KNW34" s="47"/>
      <c r="KNX34" s="47"/>
      <c r="KNY34" s="47"/>
      <c r="KNZ34" s="47"/>
      <c r="KOA34" s="47"/>
      <c r="KOB34" s="47"/>
      <c r="KOC34" s="47"/>
      <c r="KOD34" s="47"/>
      <c r="KOE34" s="47"/>
      <c r="KOF34" s="47"/>
      <c r="KOG34" s="47"/>
      <c r="KOH34" s="47"/>
      <c r="KOI34" s="47"/>
      <c r="KOJ34" s="47"/>
      <c r="KOK34" s="47"/>
      <c r="KOL34" s="47"/>
      <c r="KOM34" s="47"/>
      <c r="KON34" s="47"/>
      <c r="KOO34" s="47"/>
      <c r="KOP34" s="47"/>
      <c r="KOQ34" s="47"/>
      <c r="KOR34" s="47"/>
      <c r="KOS34" s="47"/>
      <c r="KOT34" s="47"/>
      <c r="KOU34" s="47"/>
      <c r="KOV34" s="47"/>
      <c r="KOW34" s="47"/>
      <c r="KOX34" s="47"/>
      <c r="KOY34" s="47"/>
      <c r="KOZ34" s="47"/>
      <c r="KPA34" s="47"/>
      <c r="KPB34" s="47"/>
      <c r="KPC34" s="47"/>
      <c r="KPD34" s="47"/>
      <c r="KPE34" s="47"/>
      <c r="KPF34" s="47"/>
      <c r="KPG34" s="47"/>
      <c r="KPH34" s="47"/>
      <c r="KPI34" s="47"/>
      <c r="KPJ34" s="47"/>
      <c r="KPK34" s="47"/>
      <c r="KPL34" s="47"/>
      <c r="KPM34" s="47"/>
      <c r="KPN34" s="47"/>
      <c r="KPO34" s="47"/>
      <c r="KPP34" s="47"/>
      <c r="KPQ34" s="47"/>
      <c r="KPR34" s="47"/>
      <c r="KPS34" s="47"/>
      <c r="KPT34" s="47"/>
      <c r="KPU34" s="47"/>
      <c r="KPV34" s="47"/>
      <c r="KPW34" s="47"/>
      <c r="KPX34" s="47"/>
      <c r="KPY34" s="47"/>
      <c r="KPZ34" s="47"/>
      <c r="KQA34" s="47"/>
      <c r="KQB34" s="47"/>
      <c r="KQC34" s="47"/>
      <c r="KQD34" s="47"/>
      <c r="KQE34" s="47"/>
      <c r="KQF34" s="47"/>
      <c r="KQG34" s="47"/>
      <c r="KQH34" s="47"/>
      <c r="KQI34" s="47"/>
      <c r="KQJ34" s="47"/>
      <c r="KQK34" s="47"/>
      <c r="KQL34" s="47"/>
      <c r="KQM34" s="47"/>
      <c r="KQN34" s="47"/>
      <c r="KQO34" s="47"/>
      <c r="KQP34" s="47"/>
      <c r="KQQ34" s="47"/>
      <c r="KQR34" s="47"/>
      <c r="KQS34" s="47"/>
      <c r="KQT34" s="47"/>
      <c r="KQU34" s="47"/>
      <c r="KQV34" s="47"/>
      <c r="KQW34" s="47"/>
      <c r="KQX34" s="47"/>
      <c r="KQY34" s="47"/>
      <c r="KQZ34" s="47"/>
      <c r="KRA34" s="47"/>
      <c r="KRB34" s="47"/>
      <c r="KRC34" s="47"/>
      <c r="KRD34" s="47"/>
      <c r="KRE34" s="47"/>
      <c r="KRF34" s="47"/>
      <c r="KRG34" s="47"/>
      <c r="KRH34" s="47"/>
      <c r="KRI34" s="47"/>
      <c r="KRJ34" s="47"/>
      <c r="KRK34" s="47"/>
      <c r="KRL34" s="47"/>
      <c r="KRM34" s="47"/>
      <c r="KRN34" s="47"/>
      <c r="KRO34" s="47"/>
      <c r="KRP34" s="47"/>
      <c r="KRQ34" s="47"/>
      <c r="KRR34" s="47"/>
      <c r="KRS34" s="47"/>
      <c r="KRT34" s="47"/>
      <c r="KRU34" s="47"/>
      <c r="KRV34" s="47"/>
      <c r="KRW34" s="47"/>
      <c r="KRX34" s="47"/>
      <c r="KRY34" s="47"/>
      <c r="KRZ34" s="47"/>
      <c r="KSA34" s="47"/>
      <c r="KSB34" s="47"/>
      <c r="KSC34" s="47"/>
      <c r="KSD34" s="47"/>
      <c r="KSE34" s="47"/>
      <c r="KSF34" s="47"/>
      <c r="KSG34" s="47"/>
      <c r="KSH34" s="47"/>
      <c r="KSI34" s="47"/>
      <c r="KSJ34" s="47"/>
      <c r="KSK34" s="47"/>
      <c r="KSL34" s="47"/>
      <c r="KSM34" s="47"/>
      <c r="KSN34" s="47"/>
      <c r="KSO34" s="47"/>
      <c r="KSP34" s="47"/>
      <c r="KSQ34" s="47"/>
      <c r="KSR34" s="47"/>
      <c r="KSS34" s="47"/>
      <c r="KST34" s="47"/>
      <c r="KSU34" s="47"/>
      <c r="KSV34" s="47"/>
      <c r="KSW34" s="47"/>
      <c r="KSX34" s="47"/>
      <c r="KSY34" s="47"/>
      <c r="KSZ34" s="47"/>
      <c r="KTA34" s="47"/>
      <c r="KTB34" s="47"/>
      <c r="KTC34" s="47"/>
      <c r="KTD34" s="47"/>
      <c r="KTE34" s="47"/>
      <c r="KTF34" s="47"/>
      <c r="KTG34" s="47"/>
      <c r="KTH34" s="47"/>
      <c r="KTI34" s="47"/>
      <c r="KTJ34" s="47"/>
      <c r="KTK34" s="47"/>
      <c r="KTL34" s="47"/>
      <c r="KTM34" s="47"/>
      <c r="KTN34" s="47"/>
      <c r="KTO34" s="47"/>
      <c r="KTP34" s="47"/>
      <c r="KTQ34" s="47"/>
      <c r="KTR34" s="47"/>
      <c r="KTS34" s="47"/>
      <c r="KTT34" s="47"/>
      <c r="KTU34" s="47"/>
      <c r="KTV34" s="47"/>
      <c r="KTW34" s="47"/>
      <c r="KTX34" s="47"/>
      <c r="KTY34" s="47"/>
      <c r="KTZ34" s="47"/>
      <c r="KUA34" s="47"/>
      <c r="KUB34" s="47"/>
      <c r="KUC34" s="47"/>
      <c r="KUD34" s="47"/>
      <c r="KUE34" s="47"/>
      <c r="KUF34" s="47"/>
      <c r="KUG34" s="47"/>
      <c r="KUH34" s="47"/>
      <c r="KUI34" s="47"/>
      <c r="KUJ34" s="47"/>
      <c r="KUK34" s="47"/>
      <c r="KUL34" s="47"/>
      <c r="KUM34" s="47"/>
      <c r="KUN34" s="47"/>
      <c r="KUO34" s="47"/>
      <c r="KUP34" s="47"/>
      <c r="KUQ34" s="47"/>
      <c r="KUR34" s="47"/>
      <c r="KUS34" s="47"/>
      <c r="KUT34" s="47"/>
      <c r="KUU34" s="47"/>
      <c r="KUV34" s="47"/>
      <c r="KUW34" s="47"/>
      <c r="KUX34" s="47"/>
      <c r="KUY34" s="47"/>
      <c r="KUZ34" s="47"/>
      <c r="KVA34" s="47"/>
      <c r="KVB34" s="47"/>
      <c r="KVC34" s="47"/>
      <c r="KVD34" s="47"/>
      <c r="KVE34" s="47"/>
      <c r="KVF34" s="47"/>
      <c r="KVG34" s="47"/>
      <c r="KVH34" s="47"/>
      <c r="KVI34" s="47"/>
      <c r="KVJ34" s="47"/>
      <c r="KVK34" s="47"/>
      <c r="KVL34" s="47"/>
      <c r="KVM34" s="47"/>
      <c r="KVN34" s="47"/>
      <c r="KVO34" s="47"/>
      <c r="KVP34" s="47"/>
      <c r="KVQ34" s="47"/>
      <c r="KVR34" s="47"/>
      <c r="KVS34" s="47"/>
      <c r="KVT34" s="47"/>
      <c r="KVU34" s="47"/>
      <c r="KVV34" s="47"/>
      <c r="KVW34" s="47"/>
      <c r="KVX34" s="47"/>
      <c r="KVY34" s="47"/>
      <c r="KVZ34" s="47"/>
      <c r="KWA34" s="47"/>
      <c r="KWB34" s="47"/>
      <c r="KWC34" s="47"/>
      <c r="KWD34" s="47"/>
      <c r="KWE34" s="47"/>
      <c r="KWF34" s="47"/>
      <c r="KWG34" s="47"/>
      <c r="KWH34" s="47"/>
      <c r="KWI34" s="47"/>
      <c r="KWJ34" s="47"/>
      <c r="KWK34" s="47"/>
      <c r="KWL34" s="47"/>
      <c r="KWM34" s="47"/>
      <c r="KWN34" s="47"/>
      <c r="KWO34" s="47"/>
      <c r="KWP34" s="47"/>
      <c r="KWQ34" s="47"/>
      <c r="KWR34" s="47"/>
      <c r="KWS34" s="47"/>
      <c r="KWT34" s="47"/>
      <c r="KWU34" s="47"/>
      <c r="KWV34" s="47"/>
      <c r="KWW34" s="47"/>
      <c r="KWX34" s="47"/>
      <c r="KWY34" s="47"/>
      <c r="KWZ34" s="47"/>
      <c r="KXA34" s="47"/>
      <c r="KXB34" s="47"/>
      <c r="KXC34" s="47"/>
      <c r="KXD34" s="47"/>
      <c r="KXE34" s="47"/>
      <c r="KXF34" s="47"/>
      <c r="KXG34" s="47"/>
      <c r="KXH34" s="47"/>
      <c r="KXI34" s="47"/>
      <c r="KXJ34" s="47"/>
      <c r="KXK34" s="47"/>
      <c r="KXL34" s="47"/>
      <c r="KXM34" s="47"/>
      <c r="KXN34" s="47"/>
      <c r="KXO34" s="47"/>
      <c r="KXP34" s="47"/>
      <c r="KXQ34" s="47"/>
      <c r="KXR34" s="47"/>
      <c r="KXS34" s="47"/>
      <c r="KXT34" s="47"/>
      <c r="KXU34" s="47"/>
      <c r="KXV34" s="47"/>
      <c r="KXW34" s="47"/>
      <c r="KXX34" s="47"/>
      <c r="KXY34" s="47"/>
      <c r="KXZ34" s="47"/>
      <c r="KYA34" s="47"/>
      <c r="KYB34" s="47"/>
      <c r="KYC34" s="47"/>
      <c r="KYD34" s="47"/>
      <c r="KYE34" s="47"/>
      <c r="KYF34" s="47"/>
      <c r="KYG34" s="47"/>
      <c r="KYH34" s="47"/>
      <c r="KYI34" s="47"/>
      <c r="KYJ34" s="47"/>
      <c r="KYK34" s="47"/>
      <c r="KYL34" s="47"/>
      <c r="KYM34" s="47"/>
      <c r="KYN34" s="47"/>
      <c r="KYO34" s="47"/>
      <c r="KYP34" s="47"/>
      <c r="KYQ34" s="47"/>
      <c r="KYR34" s="47"/>
      <c r="KYS34" s="47"/>
      <c r="KYT34" s="47"/>
      <c r="KYU34" s="47"/>
      <c r="KYV34" s="47"/>
      <c r="KYW34" s="47"/>
      <c r="KYX34" s="47"/>
      <c r="KYY34" s="47"/>
      <c r="KYZ34" s="47"/>
      <c r="KZA34" s="47"/>
      <c r="KZB34" s="47"/>
      <c r="KZC34" s="47"/>
      <c r="KZD34" s="47"/>
      <c r="KZE34" s="47"/>
      <c r="KZF34" s="47"/>
      <c r="KZG34" s="47"/>
      <c r="KZH34" s="47"/>
      <c r="KZI34" s="47"/>
      <c r="KZJ34" s="47"/>
      <c r="KZK34" s="47"/>
      <c r="KZL34" s="47"/>
      <c r="KZM34" s="47"/>
      <c r="KZN34" s="47"/>
      <c r="KZO34" s="47"/>
      <c r="KZP34" s="47"/>
      <c r="KZQ34" s="47"/>
      <c r="KZR34" s="47"/>
      <c r="KZS34" s="47"/>
      <c r="KZT34" s="47"/>
      <c r="KZU34" s="47"/>
      <c r="KZV34" s="47"/>
      <c r="KZW34" s="47"/>
      <c r="KZX34" s="47"/>
      <c r="KZY34" s="47"/>
      <c r="KZZ34" s="47"/>
      <c r="LAA34" s="47"/>
      <c r="LAB34" s="47"/>
      <c r="LAC34" s="47"/>
      <c r="LAD34" s="47"/>
      <c r="LAE34" s="47"/>
      <c r="LAF34" s="47"/>
      <c r="LAG34" s="47"/>
      <c r="LAH34" s="47"/>
      <c r="LAI34" s="47"/>
      <c r="LAJ34" s="47"/>
      <c r="LAK34" s="47"/>
      <c r="LAL34" s="47"/>
      <c r="LAM34" s="47"/>
      <c r="LAN34" s="47"/>
      <c r="LAO34" s="47"/>
      <c r="LAP34" s="47"/>
      <c r="LAQ34" s="47"/>
      <c r="LAR34" s="47"/>
      <c r="LAS34" s="47"/>
      <c r="LAT34" s="47"/>
      <c r="LAU34" s="47"/>
      <c r="LAV34" s="47"/>
      <c r="LAW34" s="47"/>
      <c r="LAX34" s="47"/>
      <c r="LAY34" s="47"/>
      <c r="LAZ34" s="47"/>
      <c r="LBA34" s="47"/>
      <c r="LBB34" s="47"/>
      <c r="LBC34" s="47"/>
      <c r="LBD34" s="47"/>
      <c r="LBE34" s="47"/>
      <c r="LBF34" s="47"/>
      <c r="LBG34" s="47"/>
      <c r="LBH34" s="47"/>
      <c r="LBI34" s="47"/>
      <c r="LBJ34" s="47"/>
      <c r="LBK34" s="47"/>
      <c r="LBL34" s="47"/>
      <c r="LBM34" s="47"/>
      <c r="LBN34" s="47"/>
      <c r="LBO34" s="47"/>
      <c r="LBP34" s="47"/>
      <c r="LBQ34" s="47"/>
      <c r="LBR34" s="47"/>
      <c r="LBS34" s="47"/>
      <c r="LBT34" s="47"/>
      <c r="LBU34" s="47"/>
      <c r="LBV34" s="47"/>
      <c r="LBW34" s="47"/>
      <c r="LBX34" s="47"/>
      <c r="LBY34" s="47"/>
      <c r="LBZ34" s="47"/>
      <c r="LCA34" s="47"/>
      <c r="LCB34" s="47"/>
      <c r="LCC34" s="47"/>
      <c r="LCD34" s="47"/>
      <c r="LCE34" s="47"/>
      <c r="LCF34" s="47"/>
      <c r="LCG34" s="47"/>
      <c r="LCH34" s="47"/>
      <c r="LCI34" s="47"/>
      <c r="LCJ34" s="47"/>
      <c r="LCK34" s="47"/>
      <c r="LCL34" s="47"/>
      <c r="LCM34" s="47"/>
      <c r="LCN34" s="47"/>
      <c r="LCO34" s="47"/>
      <c r="LCP34" s="47"/>
      <c r="LCQ34" s="47"/>
      <c r="LCR34" s="47"/>
      <c r="LCS34" s="47"/>
      <c r="LCT34" s="47"/>
      <c r="LCU34" s="47"/>
      <c r="LCV34" s="47"/>
      <c r="LCW34" s="47"/>
      <c r="LCX34" s="47"/>
      <c r="LCY34" s="47"/>
      <c r="LCZ34" s="47"/>
      <c r="LDA34" s="47"/>
      <c r="LDB34" s="47"/>
      <c r="LDC34" s="47"/>
      <c r="LDD34" s="47"/>
      <c r="LDE34" s="47"/>
      <c r="LDF34" s="47"/>
      <c r="LDG34" s="47"/>
      <c r="LDH34" s="47"/>
      <c r="LDI34" s="47"/>
      <c r="LDJ34" s="47"/>
      <c r="LDK34" s="47"/>
      <c r="LDL34" s="47"/>
      <c r="LDM34" s="47"/>
      <c r="LDN34" s="47"/>
      <c r="LDO34" s="47"/>
      <c r="LDP34" s="47"/>
      <c r="LDQ34" s="47"/>
      <c r="LDR34" s="47"/>
      <c r="LDS34" s="47"/>
      <c r="LDT34" s="47"/>
      <c r="LDU34" s="47"/>
      <c r="LDV34" s="47"/>
      <c r="LDW34" s="47"/>
      <c r="LDX34" s="47"/>
      <c r="LDY34" s="47"/>
      <c r="LDZ34" s="47"/>
      <c r="LEA34" s="47"/>
      <c r="LEB34" s="47"/>
      <c r="LEC34" s="47"/>
      <c r="LED34" s="47"/>
      <c r="LEE34" s="47"/>
      <c r="LEF34" s="47"/>
      <c r="LEG34" s="47"/>
      <c r="LEH34" s="47"/>
      <c r="LEI34" s="47"/>
      <c r="LEJ34" s="47"/>
      <c r="LEK34" s="47"/>
      <c r="LEL34" s="47"/>
      <c r="LEM34" s="47"/>
      <c r="LEN34" s="47"/>
      <c r="LEO34" s="47"/>
      <c r="LEP34" s="47"/>
      <c r="LEQ34" s="47"/>
      <c r="LER34" s="47"/>
      <c r="LES34" s="47"/>
      <c r="LET34" s="47"/>
      <c r="LEU34" s="47"/>
      <c r="LEV34" s="47"/>
      <c r="LEW34" s="47"/>
      <c r="LEX34" s="47"/>
      <c r="LEY34" s="47"/>
      <c r="LEZ34" s="47"/>
      <c r="LFA34" s="47"/>
      <c r="LFB34" s="47"/>
      <c r="LFC34" s="47"/>
      <c r="LFD34" s="47"/>
      <c r="LFE34" s="47"/>
      <c r="LFF34" s="47"/>
      <c r="LFG34" s="47"/>
      <c r="LFH34" s="47"/>
      <c r="LFI34" s="47"/>
      <c r="LFJ34" s="47"/>
      <c r="LFK34" s="47"/>
      <c r="LFL34" s="47"/>
      <c r="LFM34" s="47"/>
      <c r="LFN34" s="47"/>
      <c r="LFO34" s="47"/>
      <c r="LFP34" s="47"/>
      <c r="LFQ34" s="47"/>
      <c r="LFR34" s="47"/>
      <c r="LFS34" s="47"/>
      <c r="LFT34" s="47"/>
      <c r="LFU34" s="47"/>
      <c r="LFV34" s="47"/>
      <c r="LFW34" s="47"/>
      <c r="LFX34" s="47"/>
      <c r="LFY34" s="47"/>
      <c r="LFZ34" s="47"/>
      <c r="LGA34" s="47"/>
      <c r="LGB34" s="47"/>
      <c r="LGC34" s="47"/>
      <c r="LGD34" s="47"/>
      <c r="LGE34" s="47"/>
      <c r="LGF34" s="47"/>
      <c r="LGG34" s="47"/>
      <c r="LGH34" s="47"/>
      <c r="LGI34" s="47"/>
      <c r="LGJ34" s="47"/>
      <c r="LGK34" s="47"/>
      <c r="LGL34" s="47"/>
      <c r="LGM34" s="47"/>
      <c r="LGN34" s="47"/>
      <c r="LGO34" s="47"/>
      <c r="LGP34" s="47"/>
      <c r="LGQ34" s="47"/>
      <c r="LGR34" s="47"/>
      <c r="LGS34" s="47"/>
      <c r="LGT34" s="47"/>
      <c r="LGU34" s="47"/>
      <c r="LGV34" s="47"/>
      <c r="LGW34" s="47"/>
      <c r="LGX34" s="47"/>
      <c r="LGY34" s="47"/>
      <c r="LGZ34" s="47"/>
      <c r="LHA34" s="47"/>
      <c r="LHB34" s="47"/>
      <c r="LHC34" s="47"/>
      <c r="LHD34" s="47"/>
      <c r="LHE34" s="47"/>
      <c r="LHF34" s="47"/>
      <c r="LHG34" s="47"/>
      <c r="LHH34" s="47"/>
      <c r="LHI34" s="47"/>
      <c r="LHJ34" s="47"/>
      <c r="LHK34" s="47"/>
      <c r="LHL34" s="47"/>
      <c r="LHM34" s="47"/>
      <c r="LHN34" s="47"/>
      <c r="LHO34" s="47"/>
      <c r="LHP34" s="47"/>
      <c r="LHQ34" s="47"/>
      <c r="LHR34" s="47"/>
      <c r="LHS34" s="47"/>
      <c r="LHT34" s="47"/>
      <c r="LHU34" s="47"/>
      <c r="LHV34" s="47"/>
      <c r="LHW34" s="47"/>
      <c r="LHX34" s="47"/>
      <c r="LHY34" s="47"/>
      <c r="LHZ34" s="47"/>
      <c r="LIA34" s="47"/>
      <c r="LIB34" s="47"/>
      <c r="LIC34" s="47"/>
      <c r="LID34" s="47"/>
      <c r="LIE34" s="47"/>
      <c r="LIF34" s="47"/>
      <c r="LIG34" s="47"/>
      <c r="LIH34" s="47"/>
      <c r="LII34" s="47"/>
      <c r="LIJ34" s="47"/>
      <c r="LIK34" s="47"/>
      <c r="LIL34" s="47"/>
      <c r="LIM34" s="47"/>
      <c r="LIN34" s="47"/>
      <c r="LIO34" s="47"/>
      <c r="LIP34" s="47"/>
      <c r="LIQ34" s="47"/>
      <c r="LIR34" s="47"/>
      <c r="LIS34" s="47"/>
      <c r="LIT34" s="47"/>
      <c r="LIU34" s="47"/>
      <c r="LIV34" s="47"/>
      <c r="LIW34" s="47"/>
      <c r="LIX34" s="47"/>
      <c r="LIY34" s="47"/>
      <c r="LIZ34" s="47"/>
      <c r="LJA34" s="47"/>
      <c r="LJB34" s="47"/>
      <c r="LJC34" s="47"/>
      <c r="LJD34" s="47"/>
      <c r="LJE34" s="47"/>
      <c r="LJF34" s="47"/>
      <c r="LJG34" s="47"/>
      <c r="LJH34" s="47"/>
      <c r="LJI34" s="47"/>
      <c r="LJJ34" s="47"/>
      <c r="LJK34" s="47"/>
      <c r="LJL34" s="47"/>
      <c r="LJM34" s="47"/>
      <c r="LJN34" s="47"/>
      <c r="LJO34" s="47"/>
      <c r="LJP34" s="47"/>
      <c r="LJQ34" s="47"/>
      <c r="LJR34" s="47"/>
      <c r="LJS34" s="47"/>
      <c r="LJT34" s="47"/>
      <c r="LJU34" s="47"/>
      <c r="LJV34" s="47"/>
      <c r="LJW34" s="47"/>
      <c r="LJX34" s="47"/>
      <c r="LJY34" s="47"/>
      <c r="LJZ34" s="47"/>
      <c r="LKA34" s="47"/>
      <c r="LKB34" s="47"/>
      <c r="LKC34" s="47"/>
      <c r="LKD34" s="47"/>
      <c r="LKE34" s="47"/>
      <c r="LKF34" s="47"/>
      <c r="LKG34" s="47"/>
      <c r="LKH34" s="47"/>
      <c r="LKI34" s="47"/>
      <c r="LKJ34" s="47"/>
      <c r="LKK34" s="47"/>
      <c r="LKL34" s="47"/>
      <c r="LKM34" s="47"/>
      <c r="LKN34" s="47"/>
      <c r="LKO34" s="47"/>
      <c r="LKP34" s="47"/>
      <c r="LKQ34" s="47"/>
      <c r="LKR34" s="47"/>
      <c r="LKS34" s="47"/>
      <c r="LKT34" s="47"/>
      <c r="LKU34" s="47"/>
      <c r="LKV34" s="47"/>
      <c r="LKW34" s="47"/>
      <c r="LKX34" s="47"/>
      <c r="LKY34" s="47"/>
      <c r="LKZ34" s="47"/>
      <c r="LLA34" s="47"/>
      <c r="LLB34" s="47"/>
      <c r="LLC34" s="47"/>
      <c r="LLD34" s="47"/>
      <c r="LLE34" s="47"/>
      <c r="LLF34" s="47"/>
      <c r="LLG34" s="47"/>
      <c r="LLH34" s="47"/>
      <c r="LLI34" s="47"/>
      <c r="LLJ34" s="47"/>
      <c r="LLK34" s="47"/>
      <c r="LLL34" s="47"/>
      <c r="LLM34" s="47"/>
      <c r="LLN34" s="47"/>
      <c r="LLO34" s="47"/>
      <c r="LLP34" s="47"/>
      <c r="LLQ34" s="47"/>
      <c r="LLR34" s="47"/>
      <c r="LLS34" s="47"/>
      <c r="LLT34" s="47"/>
      <c r="LLU34" s="47"/>
      <c r="LLV34" s="47"/>
      <c r="LLW34" s="47"/>
      <c r="LLX34" s="47"/>
      <c r="LLY34" s="47"/>
      <c r="LLZ34" s="47"/>
      <c r="LMA34" s="47"/>
      <c r="LMB34" s="47"/>
      <c r="LMC34" s="47"/>
      <c r="LMD34" s="47"/>
      <c r="LME34" s="47"/>
      <c r="LMF34" s="47"/>
      <c r="LMG34" s="47"/>
      <c r="LMH34" s="47"/>
      <c r="LMI34" s="47"/>
      <c r="LMJ34" s="47"/>
      <c r="LMK34" s="47"/>
      <c r="LML34" s="47"/>
      <c r="LMM34" s="47"/>
      <c r="LMN34" s="47"/>
      <c r="LMO34" s="47"/>
      <c r="LMP34" s="47"/>
      <c r="LMQ34" s="47"/>
      <c r="LMR34" s="47"/>
      <c r="LMS34" s="47"/>
      <c r="LMT34" s="47"/>
      <c r="LMU34" s="47"/>
      <c r="LMV34" s="47"/>
      <c r="LMW34" s="47"/>
      <c r="LMX34" s="47"/>
      <c r="LMY34" s="47"/>
      <c r="LMZ34" s="47"/>
      <c r="LNA34" s="47"/>
      <c r="LNB34" s="47"/>
      <c r="LNC34" s="47"/>
      <c r="LND34" s="47"/>
      <c r="LNE34" s="47"/>
      <c r="LNF34" s="47"/>
      <c r="LNG34" s="47"/>
      <c r="LNH34" s="47"/>
      <c r="LNI34" s="47"/>
      <c r="LNJ34" s="47"/>
      <c r="LNK34" s="47"/>
      <c r="LNL34" s="47"/>
      <c r="LNM34" s="47"/>
      <c r="LNN34" s="47"/>
      <c r="LNO34" s="47"/>
      <c r="LNP34" s="47"/>
      <c r="LNQ34" s="47"/>
      <c r="LNR34" s="47"/>
      <c r="LNS34" s="47"/>
      <c r="LNT34" s="47"/>
      <c r="LNU34" s="47"/>
      <c r="LNV34" s="47"/>
      <c r="LNW34" s="47"/>
      <c r="LNX34" s="47"/>
      <c r="LNY34" s="47"/>
      <c r="LNZ34" s="47"/>
      <c r="LOA34" s="47"/>
      <c r="LOB34" s="47"/>
      <c r="LOC34" s="47"/>
      <c r="LOD34" s="47"/>
      <c r="LOE34" s="47"/>
      <c r="LOF34" s="47"/>
      <c r="LOG34" s="47"/>
      <c r="LOH34" s="47"/>
      <c r="LOI34" s="47"/>
      <c r="LOJ34" s="47"/>
      <c r="LOK34" s="47"/>
      <c r="LOL34" s="47"/>
      <c r="LOM34" s="47"/>
      <c r="LON34" s="47"/>
      <c r="LOO34" s="47"/>
      <c r="LOP34" s="47"/>
      <c r="LOQ34" s="47"/>
      <c r="LOR34" s="47"/>
      <c r="LOS34" s="47"/>
      <c r="LOT34" s="47"/>
      <c r="LOU34" s="47"/>
      <c r="LOV34" s="47"/>
      <c r="LOW34" s="47"/>
      <c r="LOX34" s="47"/>
      <c r="LOY34" s="47"/>
      <c r="LOZ34" s="47"/>
      <c r="LPA34" s="47"/>
      <c r="LPB34" s="47"/>
      <c r="LPC34" s="47"/>
      <c r="LPD34" s="47"/>
      <c r="LPE34" s="47"/>
      <c r="LPF34" s="47"/>
      <c r="LPG34" s="47"/>
      <c r="LPH34" s="47"/>
      <c r="LPI34" s="47"/>
      <c r="LPJ34" s="47"/>
      <c r="LPK34" s="47"/>
      <c r="LPL34" s="47"/>
      <c r="LPM34" s="47"/>
      <c r="LPN34" s="47"/>
      <c r="LPO34" s="47"/>
      <c r="LPP34" s="47"/>
      <c r="LPQ34" s="47"/>
      <c r="LPR34" s="47"/>
      <c r="LPS34" s="47"/>
      <c r="LPT34" s="47"/>
      <c r="LPU34" s="47"/>
      <c r="LPV34" s="47"/>
      <c r="LPW34" s="47"/>
      <c r="LPX34" s="47"/>
      <c r="LPY34" s="47"/>
      <c r="LPZ34" s="47"/>
      <c r="LQA34" s="47"/>
      <c r="LQB34" s="47"/>
      <c r="LQC34" s="47"/>
      <c r="LQD34" s="47"/>
      <c r="LQE34" s="47"/>
      <c r="LQF34" s="47"/>
      <c r="LQG34" s="47"/>
      <c r="LQH34" s="47"/>
      <c r="LQI34" s="47"/>
      <c r="LQJ34" s="47"/>
      <c r="LQK34" s="47"/>
      <c r="LQL34" s="47"/>
      <c r="LQM34" s="47"/>
      <c r="LQN34" s="47"/>
      <c r="LQO34" s="47"/>
      <c r="LQP34" s="47"/>
      <c r="LQQ34" s="47"/>
      <c r="LQR34" s="47"/>
      <c r="LQS34" s="47"/>
      <c r="LQT34" s="47"/>
      <c r="LQU34" s="47"/>
      <c r="LQV34" s="47"/>
      <c r="LQW34" s="47"/>
      <c r="LQX34" s="47"/>
      <c r="LQY34" s="47"/>
      <c r="LQZ34" s="47"/>
      <c r="LRA34" s="47"/>
      <c r="LRB34" s="47"/>
      <c r="LRC34" s="47"/>
      <c r="LRD34" s="47"/>
      <c r="LRE34" s="47"/>
      <c r="LRF34" s="47"/>
      <c r="LRG34" s="47"/>
      <c r="LRH34" s="47"/>
      <c r="LRI34" s="47"/>
      <c r="LRJ34" s="47"/>
      <c r="LRK34" s="47"/>
      <c r="LRL34" s="47"/>
      <c r="LRM34" s="47"/>
      <c r="LRN34" s="47"/>
      <c r="LRO34" s="47"/>
      <c r="LRP34" s="47"/>
      <c r="LRQ34" s="47"/>
      <c r="LRR34" s="47"/>
      <c r="LRS34" s="47"/>
      <c r="LRT34" s="47"/>
      <c r="LRU34" s="47"/>
      <c r="LRV34" s="47"/>
      <c r="LRW34" s="47"/>
      <c r="LRX34" s="47"/>
      <c r="LRY34" s="47"/>
      <c r="LRZ34" s="47"/>
      <c r="LSA34" s="47"/>
      <c r="LSB34" s="47"/>
      <c r="LSC34" s="47"/>
      <c r="LSD34" s="47"/>
      <c r="LSE34" s="47"/>
      <c r="LSF34" s="47"/>
      <c r="LSG34" s="47"/>
      <c r="LSH34" s="47"/>
      <c r="LSI34" s="47"/>
      <c r="LSJ34" s="47"/>
      <c r="LSK34" s="47"/>
      <c r="LSL34" s="47"/>
      <c r="LSM34" s="47"/>
      <c r="LSN34" s="47"/>
      <c r="LSO34" s="47"/>
      <c r="LSP34" s="47"/>
      <c r="LSQ34" s="47"/>
      <c r="LSR34" s="47"/>
      <c r="LSS34" s="47"/>
      <c r="LST34" s="47"/>
      <c r="LSU34" s="47"/>
      <c r="LSV34" s="47"/>
      <c r="LSW34" s="47"/>
      <c r="LSX34" s="47"/>
      <c r="LSY34" s="47"/>
      <c r="LSZ34" s="47"/>
      <c r="LTA34" s="47"/>
      <c r="LTB34" s="47"/>
      <c r="LTC34" s="47"/>
      <c r="LTD34" s="47"/>
      <c r="LTE34" s="47"/>
      <c r="LTF34" s="47"/>
      <c r="LTG34" s="47"/>
      <c r="LTH34" s="47"/>
      <c r="LTI34" s="47"/>
      <c r="LTJ34" s="47"/>
      <c r="LTK34" s="47"/>
      <c r="LTL34" s="47"/>
      <c r="LTM34" s="47"/>
      <c r="LTN34" s="47"/>
      <c r="LTO34" s="47"/>
      <c r="LTP34" s="47"/>
      <c r="LTQ34" s="47"/>
      <c r="LTR34" s="47"/>
      <c r="LTS34" s="47"/>
      <c r="LTT34" s="47"/>
      <c r="LTU34" s="47"/>
      <c r="LTV34" s="47"/>
      <c r="LTW34" s="47"/>
      <c r="LTX34" s="47"/>
      <c r="LTY34" s="47"/>
      <c r="LTZ34" s="47"/>
      <c r="LUA34" s="47"/>
      <c r="LUB34" s="47"/>
      <c r="LUC34" s="47"/>
      <c r="LUD34" s="47"/>
      <c r="LUE34" s="47"/>
      <c r="LUF34" s="47"/>
      <c r="LUG34" s="47"/>
      <c r="LUH34" s="47"/>
      <c r="LUI34" s="47"/>
      <c r="LUJ34" s="47"/>
      <c r="LUK34" s="47"/>
      <c r="LUL34" s="47"/>
      <c r="LUM34" s="47"/>
      <c r="LUN34" s="47"/>
      <c r="LUO34" s="47"/>
      <c r="LUP34" s="47"/>
      <c r="LUQ34" s="47"/>
      <c r="LUR34" s="47"/>
      <c r="LUS34" s="47"/>
      <c r="LUT34" s="47"/>
      <c r="LUU34" s="47"/>
      <c r="LUV34" s="47"/>
      <c r="LUW34" s="47"/>
      <c r="LUX34" s="47"/>
      <c r="LUY34" s="47"/>
      <c r="LUZ34" s="47"/>
      <c r="LVA34" s="47"/>
      <c r="LVB34" s="47"/>
      <c r="LVC34" s="47"/>
      <c r="LVD34" s="47"/>
      <c r="LVE34" s="47"/>
      <c r="LVF34" s="47"/>
      <c r="LVG34" s="47"/>
      <c r="LVH34" s="47"/>
      <c r="LVI34" s="47"/>
      <c r="LVJ34" s="47"/>
      <c r="LVK34" s="47"/>
      <c r="LVL34" s="47"/>
      <c r="LVM34" s="47"/>
      <c r="LVN34" s="47"/>
      <c r="LVO34" s="47"/>
      <c r="LVP34" s="47"/>
      <c r="LVQ34" s="47"/>
      <c r="LVR34" s="47"/>
      <c r="LVS34" s="47"/>
      <c r="LVT34" s="47"/>
      <c r="LVU34" s="47"/>
      <c r="LVV34" s="47"/>
      <c r="LVW34" s="47"/>
      <c r="LVX34" s="47"/>
      <c r="LVY34" s="47"/>
      <c r="LVZ34" s="47"/>
      <c r="LWA34" s="47"/>
      <c r="LWB34" s="47"/>
      <c r="LWC34" s="47"/>
      <c r="LWD34" s="47"/>
      <c r="LWE34" s="47"/>
      <c r="LWF34" s="47"/>
      <c r="LWG34" s="47"/>
      <c r="LWH34" s="47"/>
      <c r="LWI34" s="47"/>
      <c r="LWJ34" s="47"/>
      <c r="LWK34" s="47"/>
      <c r="LWL34" s="47"/>
      <c r="LWM34" s="47"/>
      <c r="LWN34" s="47"/>
      <c r="LWO34" s="47"/>
      <c r="LWP34" s="47"/>
      <c r="LWQ34" s="47"/>
      <c r="LWR34" s="47"/>
      <c r="LWS34" s="47"/>
      <c r="LWT34" s="47"/>
      <c r="LWU34" s="47"/>
      <c r="LWV34" s="47"/>
      <c r="LWW34" s="47"/>
      <c r="LWX34" s="47"/>
      <c r="LWY34" s="47"/>
      <c r="LWZ34" s="47"/>
      <c r="LXA34" s="47"/>
      <c r="LXB34" s="47"/>
      <c r="LXC34" s="47"/>
      <c r="LXD34" s="47"/>
      <c r="LXE34" s="47"/>
      <c r="LXF34" s="47"/>
      <c r="LXG34" s="47"/>
      <c r="LXH34" s="47"/>
      <c r="LXI34" s="47"/>
      <c r="LXJ34" s="47"/>
      <c r="LXK34" s="47"/>
      <c r="LXL34" s="47"/>
      <c r="LXM34" s="47"/>
      <c r="LXN34" s="47"/>
      <c r="LXO34" s="47"/>
      <c r="LXP34" s="47"/>
      <c r="LXQ34" s="47"/>
      <c r="LXR34" s="47"/>
      <c r="LXS34" s="47"/>
      <c r="LXT34" s="47"/>
      <c r="LXU34" s="47"/>
      <c r="LXV34" s="47"/>
      <c r="LXW34" s="47"/>
      <c r="LXX34" s="47"/>
      <c r="LXY34" s="47"/>
      <c r="LXZ34" s="47"/>
      <c r="LYA34" s="47"/>
      <c r="LYB34" s="47"/>
      <c r="LYC34" s="47"/>
      <c r="LYD34" s="47"/>
      <c r="LYE34" s="47"/>
      <c r="LYF34" s="47"/>
      <c r="LYG34" s="47"/>
      <c r="LYH34" s="47"/>
      <c r="LYI34" s="47"/>
      <c r="LYJ34" s="47"/>
      <c r="LYK34" s="47"/>
      <c r="LYL34" s="47"/>
      <c r="LYM34" s="47"/>
      <c r="LYN34" s="47"/>
      <c r="LYO34" s="47"/>
      <c r="LYP34" s="47"/>
      <c r="LYQ34" s="47"/>
      <c r="LYR34" s="47"/>
      <c r="LYS34" s="47"/>
      <c r="LYT34" s="47"/>
      <c r="LYU34" s="47"/>
      <c r="LYV34" s="47"/>
      <c r="LYW34" s="47"/>
      <c r="LYX34" s="47"/>
      <c r="LYY34" s="47"/>
      <c r="LYZ34" s="47"/>
      <c r="LZA34" s="47"/>
      <c r="LZB34" s="47"/>
      <c r="LZC34" s="47"/>
      <c r="LZD34" s="47"/>
      <c r="LZE34" s="47"/>
      <c r="LZF34" s="47"/>
      <c r="LZG34" s="47"/>
      <c r="LZH34" s="47"/>
      <c r="LZI34" s="47"/>
      <c r="LZJ34" s="47"/>
      <c r="LZK34" s="47"/>
      <c r="LZL34" s="47"/>
      <c r="LZM34" s="47"/>
      <c r="LZN34" s="47"/>
      <c r="LZO34" s="47"/>
      <c r="LZP34" s="47"/>
      <c r="LZQ34" s="47"/>
      <c r="LZR34" s="47"/>
      <c r="LZS34" s="47"/>
      <c r="LZT34" s="47"/>
      <c r="LZU34" s="47"/>
      <c r="LZV34" s="47"/>
      <c r="LZW34" s="47"/>
      <c r="LZX34" s="47"/>
      <c r="LZY34" s="47"/>
      <c r="LZZ34" s="47"/>
      <c r="MAA34" s="47"/>
      <c r="MAB34" s="47"/>
      <c r="MAC34" s="47"/>
      <c r="MAD34" s="47"/>
      <c r="MAE34" s="47"/>
      <c r="MAF34" s="47"/>
      <c r="MAG34" s="47"/>
      <c r="MAH34" s="47"/>
      <c r="MAI34" s="47"/>
      <c r="MAJ34" s="47"/>
      <c r="MAK34" s="47"/>
      <c r="MAL34" s="47"/>
      <c r="MAM34" s="47"/>
      <c r="MAN34" s="47"/>
      <c r="MAO34" s="47"/>
      <c r="MAP34" s="47"/>
      <c r="MAQ34" s="47"/>
      <c r="MAR34" s="47"/>
      <c r="MAS34" s="47"/>
      <c r="MAT34" s="47"/>
      <c r="MAU34" s="47"/>
      <c r="MAV34" s="47"/>
      <c r="MAW34" s="47"/>
      <c r="MAX34" s="47"/>
      <c r="MAY34" s="47"/>
      <c r="MAZ34" s="47"/>
      <c r="MBA34" s="47"/>
      <c r="MBB34" s="47"/>
      <c r="MBC34" s="47"/>
      <c r="MBD34" s="47"/>
      <c r="MBE34" s="47"/>
      <c r="MBF34" s="47"/>
      <c r="MBG34" s="47"/>
      <c r="MBH34" s="47"/>
      <c r="MBI34" s="47"/>
      <c r="MBJ34" s="47"/>
      <c r="MBK34" s="47"/>
      <c r="MBL34" s="47"/>
      <c r="MBM34" s="47"/>
      <c r="MBN34" s="47"/>
      <c r="MBO34" s="47"/>
      <c r="MBP34" s="47"/>
      <c r="MBQ34" s="47"/>
      <c r="MBR34" s="47"/>
      <c r="MBS34" s="47"/>
      <c r="MBT34" s="47"/>
      <c r="MBU34" s="47"/>
      <c r="MBV34" s="47"/>
      <c r="MBW34" s="47"/>
      <c r="MBX34" s="47"/>
      <c r="MBY34" s="47"/>
      <c r="MBZ34" s="47"/>
      <c r="MCA34" s="47"/>
      <c r="MCB34" s="47"/>
      <c r="MCC34" s="47"/>
      <c r="MCD34" s="47"/>
      <c r="MCE34" s="47"/>
      <c r="MCF34" s="47"/>
      <c r="MCG34" s="47"/>
      <c r="MCH34" s="47"/>
      <c r="MCI34" s="47"/>
      <c r="MCJ34" s="47"/>
      <c r="MCK34" s="47"/>
      <c r="MCL34" s="47"/>
      <c r="MCM34" s="47"/>
      <c r="MCN34" s="47"/>
      <c r="MCO34" s="47"/>
      <c r="MCP34" s="47"/>
      <c r="MCQ34" s="47"/>
      <c r="MCR34" s="47"/>
      <c r="MCS34" s="47"/>
      <c r="MCT34" s="47"/>
      <c r="MCU34" s="47"/>
      <c r="MCV34" s="47"/>
      <c r="MCW34" s="47"/>
      <c r="MCX34" s="47"/>
      <c r="MCY34" s="47"/>
      <c r="MCZ34" s="47"/>
      <c r="MDA34" s="47"/>
      <c r="MDB34" s="47"/>
      <c r="MDC34" s="47"/>
      <c r="MDD34" s="47"/>
      <c r="MDE34" s="47"/>
      <c r="MDF34" s="47"/>
      <c r="MDG34" s="47"/>
      <c r="MDH34" s="47"/>
      <c r="MDI34" s="47"/>
      <c r="MDJ34" s="47"/>
      <c r="MDK34" s="47"/>
      <c r="MDL34" s="47"/>
      <c r="MDM34" s="47"/>
      <c r="MDN34" s="47"/>
      <c r="MDO34" s="47"/>
      <c r="MDP34" s="47"/>
      <c r="MDQ34" s="47"/>
      <c r="MDR34" s="47"/>
      <c r="MDS34" s="47"/>
      <c r="MDT34" s="47"/>
      <c r="MDU34" s="47"/>
      <c r="MDV34" s="47"/>
      <c r="MDW34" s="47"/>
      <c r="MDX34" s="47"/>
      <c r="MDY34" s="47"/>
      <c r="MDZ34" s="47"/>
      <c r="MEA34" s="47"/>
      <c r="MEB34" s="47"/>
      <c r="MEC34" s="47"/>
      <c r="MED34" s="47"/>
      <c r="MEE34" s="47"/>
      <c r="MEF34" s="47"/>
      <c r="MEG34" s="47"/>
      <c r="MEH34" s="47"/>
      <c r="MEI34" s="47"/>
      <c r="MEJ34" s="47"/>
      <c r="MEK34" s="47"/>
      <c r="MEL34" s="47"/>
      <c r="MEM34" s="47"/>
      <c r="MEN34" s="47"/>
      <c r="MEO34" s="47"/>
      <c r="MEP34" s="47"/>
      <c r="MEQ34" s="47"/>
      <c r="MER34" s="47"/>
      <c r="MES34" s="47"/>
      <c r="MET34" s="47"/>
      <c r="MEU34" s="47"/>
      <c r="MEV34" s="47"/>
      <c r="MEW34" s="47"/>
      <c r="MEX34" s="47"/>
      <c r="MEY34" s="47"/>
      <c r="MEZ34" s="47"/>
      <c r="MFA34" s="47"/>
      <c r="MFB34" s="47"/>
      <c r="MFC34" s="47"/>
      <c r="MFD34" s="47"/>
      <c r="MFE34" s="47"/>
      <c r="MFF34" s="47"/>
      <c r="MFG34" s="47"/>
      <c r="MFH34" s="47"/>
      <c r="MFI34" s="47"/>
      <c r="MFJ34" s="47"/>
      <c r="MFK34" s="47"/>
      <c r="MFL34" s="47"/>
      <c r="MFM34" s="47"/>
      <c r="MFN34" s="47"/>
      <c r="MFO34" s="47"/>
      <c r="MFP34" s="47"/>
      <c r="MFQ34" s="47"/>
      <c r="MFR34" s="47"/>
      <c r="MFS34" s="47"/>
      <c r="MFT34" s="47"/>
      <c r="MFU34" s="47"/>
      <c r="MFV34" s="47"/>
      <c r="MFW34" s="47"/>
      <c r="MFX34" s="47"/>
      <c r="MFY34" s="47"/>
      <c r="MFZ34" s="47"/>
      <c r="MGA34" s="47"/>
      <c r="MGB34" s="47"/>
      <c r="MGC34" s="47"/>
      <c r="MGD34" s="47"/>
      <c r="MGE34" s="47"/>
      <c r="MGF34" s="47"/>
      <c r="MGG34" s="47"/>
      <c r="MGH34" s="47"/>
      <c r="MGI34" s="47"/>
      <c r="MGJ34" s="47"/>
      <c r="MGK34" s="47"/>
      <c r="MGL34" s="47"/>
      <c r="MGM34" s="47"/>
      <c r="MGN34" s="47"/>
      <c r="MGO34" s="47"/>
      <c r="MGP34" s="47"/>
      <c r="MGQ34" s="47"/>
      <c r="MGR34" s="47"/>
      <c r="MGS34" s="47"/>
      <c r="MGT34" s="47"/>
      <c r="MGU34" s="47"/>
      <c r="MGV34" s="47"/>
      <c r="MGW34" s="47"/>
      <c r="MGX34" s="47"/>
      <c r="MGY34" s="47"/>
      <c r="MGZ34" s="47"/>
      <c r="MHA34" s="47"/>
      <c r="MHB34" s="47"/>
      <c r="MHC34" s="47"/>
      <c r="MHD34" s="47"/>
      <c r="MHE34" s="47"/>
      <c r="MHF34" s="47"/>
      <c r="MHG34" s="47"/>
      <c r="MHH34" s="47"/>
      <c r="MHI34" s="47"/>
      <c r="MHJ34" s="47"/>
      <c r="MHK34" s="47"/>
      <c r="MHL34" s="47"/>
      <c r="MHM34" s="47"/>
      <c r="MHN34" s="47"/>
      <c r="MHO34" s="47"/>
      <c r="MHP34" s="47"/>
      <c r="MHQ34" s="47"/>
      <c r="MHR34" s="47"/>
      <c r="MHS34" s="47"/>
      <c r="MHT34" s="47"/>
      <c r="MHU34" s="47"/>
      <c r="MHV34" s="47"/>
      <c r="MHW34" s="47"/>
      <c r="MHX34" s="47"/>
      <c r="MHY34" s="47"/>
      <c r="MHZ34" s="47"/>
      <c r="MIA34" s="47"/>
      <c r="MIB34" s="47"/>
      <c r="MIC34" s="47"/>
      <c r="MID34" s="47"/>
      <c r="MIE34" s="47"/>
      <c r="MIF34" s="47"/>
      <c r="MIG34" s="47"/>
      <c r="MIH34" s="47"/>
      <c r="MII34" s="47"/>
      <c r="MIJ34" s="47"/>
      <c r="MIK34" s="47"/>
      <c r="MIL34" s="47"/>
      <c r="MIM34" s="47"/>
      <c r="MIN34" s="47"/>
      <c r="MIO34" s="47"/>
      <c r="MIP34" s="47"/>
      <c r="MIQ34" s="47"/>
      <c r="MIR34" s="47"/>
      <c r="MIS34" s="47"/>
      <c r="MIT34" s="47"/>
      <c r="MIU34" s="47"/>
      <c r="MIV34" s="47"/>
      <c r="MIW34" s="47"/>
      <c r="MIX34" s="47"/>
      <c r="MIY34" s="47"/>
      <c r="MIZ34" s="47"/>
      <c r="MJA34" s="47"/>
      <c r="MJB34" s="47"/>
      <c r="MJC34" s="47"/>
      <c r="MJD34" s="47"/>
      <c r="MJE34" s="47"/>
      <c r="MJF34" s="47"/>
      <c r="MJG34" s="47"/>
      <c r="MJH34" s="47"/>
      <c r="MJI34" s="47"/>
      <c r="MJJ34" s="47"/>
      <c r="MJK34" s="47"/>
      <c r="MJL34" s="47"/>
      <c r="MJM34" s="47"/>
      <c r="MJN34" s="47"/>
      <c r="MJO34" s="47"/>
      <c r="MJP34" s="47"/>
      <c r="MJQ34" s="47"/>
      <c r="MJR34" s="47"/>
      <c r="MJS34" s="47"/>
      <c r="MJT34" s="47"/>
      <c r="MJU34" s="47"/>
      <c r="MJV34" s="47"/>
      <c r="MJW34" s="47"/>
      <c r="MJX34" s="47"/>
      <c r="MJY34" s="47"/>
      <c r="MJZ34" s="47"/>
      <c r="MKA34" s="47"/>
      <c r="MKB34" s="47"/>
      <c r="MKC34" s="47"/>
      <c r="MKD34" s="47"/>
      <c r="MKE34" s="47"/>
      <c r="MKF34" s="47"/>
      <c r="MKG34" s="47"/>
      <c r="MKH34" s="47"/>
      <c r="MKI34" s="47"/>
      <c r="MKJ34" s="47"/>
      <c r="MKK34" s="47"/>
      <c r="MKL34" s="47"/>
      <c r="MKM34" s="47"/>
      <c r="MKN34" s="47"/>
      <c r="MKO34" s="47"/>
      <c r="MKP34" s="47"/>
      <c r="MKQ34" s="47"/>
      <c r="MKR34" s="47"/>
      <c r="MKS34" s="47"/>
      <c r="MKT34" s="47"/>
      <c r="MKU34" s="47"/>
      <c r="MKV34" s="47"/>
      <c r="MKW34" s="47"/>
      <c r="MKX34" s="47"/>
      <c r="MKY34" s="47"/>
      <c r="MKZ34" s="47"/>
      <c r="MLA34" s="47"/>
      <c r="MLB34" s="47"/>
      <c r="MLC34" s="47"/>
      <c r="MLD34" s="47"/>
      <c r="MLE34" s="47"/>
      <c r="MLF34" s="47"/>
      <c r="MLG34" s="47"/>
      <c r="MLH34" s="47"/>
      <c r="MLI34" s="47"/>
      <c r="MLJ34" s="47"/>
      <c r="MLK34" s="47"/>
      <c r="MLL34" s="47"/>
      <c r="MLM34" s="47"/>
      <c r="MLN34" s="47"/>
      <c r="MLO34" s="47"/>
      <c r="MLP34" s="47"/>
      <c r="MLQ34" s="47"/>
      <c r="MLR34" s="47"/>
      <c r="MLS34" s="47"/>
      <c r="MLT34" s="47"/>
      <c r="MLU34" s="47"/>
      <c r="MLV34" s="47"/>
      <c r="MLW34" s="47"/>
      <c r="MLX34" s="47"/>
      <c r="MLY34" s="47"/>
      <c r="MLZ34" s="47"/>
      <c r="MMA34" s="47"/>
      <c r="MMB34" s="47"/>
      <c r="MMC34" s="47"/>
      <c r="MMD34" s="47"/>
      <c r="MME34" s="47"/>
      <c r="MMF34" s="47"/>
      <c r="MMG34" s="47"/>
      <c r="MMH34" s="47"/>
      <c r="MMI34" s="47"/>
      <c r="MMJ34" s="47"/>
      <c r="MMK34" s="47"/>
      <c r="MML34" s="47"/>
      <c r="MMM34" s="47"/>
      <c r="MMN34" s="47"/>
      <c r="MMO34" s="47"/>
      <c r="MMP34" s="47"/>
      <c r="MMQ34" s="47"/>
      <c r="MMR34" s="47"/>
      <c r="MMS34" s="47"/>
      <c r="MMT34" s="47"/>
      <c r="MMU34" s="47"/>
      <c r="MMV34" s="47"/>
      <c r="MMW34" s="47"/>
      <c r="MMX34" s="47"/>
      <c r="MMY34" s="47"/>
      <c r="MMZ34" s="47"/>
      <c r="MNA34" s="47"/>
      <c r="MNB34" s="47"/>
      <c r="MNC34" s="47"/>
      <c r="MND34" s="47"/>
      <c r="MNE34" s="47"/>
      <c r="MNF34" s="47"/>
      <c r="MNG34" s="47"/>
      <c r="MNH34" s="47"/>
      <c r="MNI34" s="47"/>
      <c r="MNJ34" s="47"/>
      <c r="MNK34" s="47"/>
      <c r="MNL34" s="47"/>
      <c r="MNM34" s="47"/>
      <c r="MNN34" s="47"/>
      <c r="MNO34" s="47"/>
      <c r="MNP34" s="47"/>
      <c r="MNQ34" s="47"/>
      <c r="MNR34" s="47"/>
      <c r="MNS34" s="47"/>
      <c r="MNT34" s="47"/>
      <c r="MNU34" s="47"/>
      <c r="MNV34" s="47"/>
      <c r="MNW34" s="47"/>
      <c r="MNX34" s="47"/>
      <c r="MNY34" s="47"/>
      <c r="MNZ34" s="47"/>
      <c r="MOA34" s="47"/>
      <c r="MOB34" s="47"/>
      <c r="MOC34" s="47"/>
      <c r="MOD34" s="47"/>
      <c r="MOE34" s="47"/>
      <c r="MOF34" s="47"/>
      <c r="MOG34" s="47"/>
      <c r="MOH34" s="47"/>
      <c r="MOI34" s="47"/>
      <c r="MOJ34" s="47"/>
      <c r="MOK34" s="47"/>
      <c r="MOL34" s="47"/>
      <c r="MOM34" s="47"/>
      <c r="MON34" s="47"/>
      <c r="MOO34" s="47"/>
      <c r="MOP34" s="47"/>
      <c r="MOQ34" s="47"/>
      <c r="MOR34" s="47"/>
      <c r="MOS34" s="47"/>
      <c r="MOT34" s="47"/>
      <c r="MOU34" s="47"/>
      <c r="MOV34" s="47"/>
      <c r="MOW34" s="47"/>
      <c r="MOX34" s="47"/>
      <c r="MOY34" s="47"/>
      <c r="MOZ34" s="47"/>
      <c r="MPA34" s="47"/>
      <c r="MPB34" s="47"/>
      <c r="MPC34" s="47"/>
      <c r="MPD34" s="47"/>
      <c r="MPE34" s="47"/>
      <c r="MPF34" s="47"/>
      <c r="MPG34" s="47"/>
      <c r="MPH34" s="47"/>
      <c r="MPI34" s="47"/>
      <c r="MPJ34" s="47"/>
      <c r="MPK34" s="47"/>
      <c r="MPL34" s="47"/>
      <c r="MPM34" s="47"/>
      <c r="MPN34" s="47"/>
      <c r="MPO34" s="47"/>
      <c r="MPP34" s="47"/>
      <c r="MPQ34" s="47"/>
      <c r="MPR34" s="47"/>
      <c r="MPS34" s="47"/>
      <c r="MPT34" s="47"/>
      <c r="MPU34" s="47"/>
      <c r="MPV34" s="47"/>
      <c r="MPW34" s="47"/>
      <c r="MPX34" s="47"/>
      <c r="MPY34" s="47"/>
      <c r="MPZ34" s="47"/>
      <c r="MQA34" s="47"/>
      <c r="MQB34" s="47"/>
      <c r="MQC34" s="47"/>
      <c r="MQD34" s="47"/>
      <c r="MQE34" s="47"/>
      <c r="MQF34" s="47"/>
      <c r="MQG34" s="47"/>
      <c r="MQH34" s="47"/>
      <c r="MQI34" s="47"/>
      <c r="MQJ34" s="47"/>
      <c r="MQK34" s="47"/>
      <c r="MQL34" s="47"/>
      <c r="MQM34" s="47"/>
      <c r="MQN34" s="47"/>
      <c r="MQO34" s="47"/>
      <c r="MQP34" s="47"/>
      <c r="MQQ34" s="47"/>
      <c r="MQR34" s="47"/>
      <c r="MQS34" s="47"/>
      <c r="MQT34" s="47"/>
      <c r="MQU34" s="47"/>
      <c r="MQV34" s="47"/>
      <c r="MQW34" s="47"/>
      <c r="MQX34" s="47"/>
      <c r="MQY34" s="47"/>
      <c r="MQZ34" s="47"/>
      <c r="MRA34" s="47"/>
      <c r="MRB34" s="47"/>
      <c r="MRC34" s="47"/>
      <c r="MRD34" s="47"/>
      <c r="MRE34" s="47"/>
      <c r="MRF34" s="47"/>
      <c r="MRG34" s="47"/>
      <c r="MRH34" s="47"/>
      <c r="MRI34" s="47"/>
      <c r="MRJ34" s="47"/>
      <c r="MRK34" s="47"/>
      <c r="MRL34" s="47"/>
      <c r="MRM34" s="47"/>
      <c r="MRN34" s="47"/>
      <c r="MRO34" s="47"/>
      <c r="MRP34" s="47"/>
      <c r="MRQ34" s="47"/>
      <c r="MRR34" s="47"/>
      <c r="MRS34" s="47"/>
      <c r="MRT34" s="47"/>
      <c r="MRU34" s="47"/>
      <c r="MRV34" s="47"/>
      <c r="MRW34" s="47"/>
      <c r="MRX34" s="47"/>
      <c r="MRY34" s="47"/>
      <c r="MRZ34" s="47"/>
      <c r="MSA34" s="47"/>
      <c r="MSB34" s="47"/>
      <c r="MSC34" s="47"/>
      <c r="MSD34" s="47"/>
      <c r="MSE34" s="47"/>
      <c r="MSF34" s="47"/>
      <c r="MSG34" s="47"/>
      <c r="MSH34" s="47"/>
      <c r="MSI34" s="47"/>
      <c r="MSJ34" s="47"/>
      <c r="MSK34" s="47"/>
      <c r="MSL34" s="47"/>
      <c r="MSM34" s="47"/>
      <c r="MSN34" s="47"/>
      <c r="MSO34" s="47"/>
      <c r="MSP34" s="47"/>
      <c r="MSQ34" s="47"/>
      <c r="MSR34" s="47"/>
      <c r="MSS34" s="47"/>
      <c r="MST34" s="47"/>
      <c r="MSU34" s="47"/>
      <c r="MSV34" s="47"/>
      <c r="MSW34" s="47"/>
      <c r="MSX34" s="47"/>
      <c r="MSY34" s="47"/>
      <c r="MSZ34" s="47"/>
      <c r="MTA34" s="47"/>
      <c r="MTB34" s="47"/>
      <c r="MTC34" s="47"/>
      <c r="MTD34" s="47"/>
      <c r="MTE34" s="47"/>
      <c r="MTF34" s="47"/>
      <c r="MTG34" s="47"/>
      <c r="MTH34" s="47"/>
      <c r="MTI34" s="47"/>
      <c r="MTJ34" s="47"/>
      <c r="MTK34" s="47"/>
      <c r="MTL34" s="47"/>
      <c r="MTM34" s="47"/>
      <c r="MTN34" s="47"/>
      <c r="MTO34" s="47"/>
      <c r="MTP34" s="47"/>
      <c r="MTQ34" s="47"/>
      <c r="MTR34" s="47"/>
      <c r="MTS34" s="47"/>
      <c r="MTT34" s="47"/>
      <c r="MTU34" s="47"/>
      <c r="MTV34" s="47"/>
      <c r="MTW34" s="47"/>
      <c r="MTX34" s="47"/>
      <c r="MTY34" s="47"/>
      <c r="MTZ34" s="47"/>
      <c r="MUA34" s="47"/>
      <c r="MUB34" s="47"/>
      <c r="MUC34" s="47"/>
      <c r="MUD34" s="47"/>
      <c r="MUE34" s="47"/>
      <c r="MUF34" s="47"/>
      <c r="MUG34" s="47"/>
      <c r="MUH34" s="47"/>
      <c r="MUI34" s="47"/>
      <c r="MUJ34" s="47"/>
      <c r="MUK34" s="47"/>
      <c r="MUL34" s="47"/>
      <c r="MUM34" s="47"/>
      <c r="MUN34" s="47"/>
      <c r="MUO34" s="47"/>
      <c r="MUP34" s="47"/>
      <c r="MUQ34" s="47"/>
      <c r="MUR34" s="47"/>
      <c r="MUS34" s="47"/>
      <c r="MUT34" s="47"/>
      <c r="MUU34" s="47"/>
      <c r="MUV34" s="47"/>
      <c r="MUW34" s="47"/>
      <c r="MUX34" s="47"/>
      <c r="MUY34" s="47"/>
      <c r="MUZ34" s="47"/>
      <c r="MVA34" s="47"/>
      <c r="MVB34" s="47"/>
      <c r="MVC34" s="47"/>
      <c r="MVD34" s="47"/>
      <c r="MVE34" s="47"/>
      <c r="MVF34" s="47"/>
      <c r="MVG34" s="47"/>
      <c r="MVH34" s="47"/>
      <c r="MVI34" s="47"/>
      <c r="MVJ34" s="47"/>
      <c r="MVK34" s="47"/>
      <c r="MVL34" s="47"/>
      <c r="MVM34" s="47"/>
      <c r="MVN34" s="47"/>
      <c r="MVO34" s="47"/>
      <c r="MVP34" s="47"/>
      <c r="MVQ34" s="47"/>
      <c r="MVR34" s="47"/>
      <c r="MVS34" s="47"/>
      <c r="MVT34" s="47"/>
      <c r="MVU34" s="47"/>
      <c r="MVV34" s="47"/>
      <c r="MVW34" s="47"/>
      <c r="MVX34" s="47"/>
      <c r="MVY34" s="47"/>
      <c r="MVZ34" s="47"/>
      <c r="MWA34" s="47"/>
      <c r="MWB34" s="47"/>
      <c r="MWC34" s="47"/>
      <c r="MWD34" s="47"/>
      <c r="MWE34" s="47"/>
      <c r="MWF34" s="47"/>
      <c r="MWG34" s="47"/>
      <c r="MWH34" s="47"/>
      <c r="MWI34" s="47"/>
      <c r="MWJ34" s="47"/>
      <c r="MWK34" s="47"/>
      <c r="MWL34" s="47"/>
      <c r="MWM34" s="47"/>
      <c r="MWN34" s="47"/>
      <c r="MWO34" s="47"/>
      <c r="MWP34" s="47"/>
      <c r="MWQ34" s="47"/>
      <c r="MWR34" s="47"/>
      <c r="MWS34" s="47"/>
      <c r="MWT34" s="47"/>
      <c r="MWU34" s="47"/>
      <c r="MWV34" s="47"/>
      <c r="MWW34" s="47"/>
      <c r="MWX34" s="47"/>
      <c r="MWY34" s="47"/>
      <c r="MWZ34" s="47"/>
      <c r="MXA34" s="47"/>
      <c r="MXB34" s="47"/>
      <c r="MXC34" s="47"/>
      <c r="MXD34" s="47"/>
      <c r="MXE34" s="47"/>
      <c r="MXF34" s="47"/>
      <c r="MXG34" s="47"/>
      <c r="MXH34" s="47"/>
      <c r="MXI34" s="47"/>
      <c r="MXJ34" s="47"/>
      <c r="MXK34" s="47"/>
      <c r="MXL34" s="47"/>
      <c r="MXM34" s="47"/>
      <c r="MXN34" s="47"/>
      <c r="MXO34" s="47"/>
      <c r="MXP34" s="47"/>
      <c r="MXQ34" s="47"/>
      <c r="MXR34" s="47"/>
      <c r="MXS34" s="47"/>
      <c r="MXT34" s="47"/>
      <c r="MXU34" s="47"/>
      <c r="MXV34" s="47"/>
      <c r="MXW34" s="47"/>
      <c r="MXX34" s="47"/>
      <c r="MXY34" s="47"/>
      <c r="MXZ34" s="47"/>
      <c r="MYA34" s="47"/>
      <c r="MYB34" s="47"/>
      <c r="MYC34" s="47"/>
      <c r="MYD34" s="47"/>
      <c r="MYE34" s="47"/>
      <c r="MYF34" s="47"/>
      <c r="MYG34" s="47"/>
      <c r="MYH34" s="47"/>
      <c r="MYI34" s="47"/>
      <c r="MYJ34" s="47"/>
      <c r="MYK34" s="47"/>
      <c r="MYL34" s="47"/>
      <c r="MYM34" s="47"/>
      <c r="MYN34" s="47"/>
      <c r="MYO34" s="47"/>
      <c r="MYP34" s="47"/>
      <c r="MYQ34" s="47"/>
      <c r="MYR34" s="47"/>
      <c r="MYS34" s="47"/>
      <c r="MYT34" s="47"/>
      <c r="MYU34" s="47"/>
      <c r="MYV34" s="47"/>
      <c r="MYW34" s="47"/>
      <c r="MYX34" s="47"/>
      <c r="MYY34" s="47"/>
      <c r="MYZ34" s="47"/>
      <c r="MZA34" s="47"/>
      <c r="MZB34" s="47"/>
      <c r="MZC34" s="47"/>
      <c r="MZD34" s="47"/>
      <c r="MZE34" s="47"/>
      <c r="MZF34" s="47"/>
      <c r="MZG34" s="47"/>
      <c r="MZH34" s="47"/>
      <c r="MZI34" s="47"/>
      <c r="MZJ34" s="47"/>
      <c r="MZK34" s="47"/>
      <c r="MZL34" s="47"/>
      <c r="MZM34" s="47"/>
      <c r="MZN34" s="47"/>
      <c r="MZO34" s="47"/>
      <c r="MZP34" s="47"/>
      <c r="MZQ34" s="47"/>
      <c r="MZR34" s="47"/>
      <c r="MZS34" s="47"/>
      <c r="MZT34" s="47"/>
      <c r="MZU34" s="47"/>
      <c r="MZV34" s="47"/>
      <c r="MZW34" s="47"/>
      <c r="MZX34" s="47"/>
      <c r="MZY34" s="47"/>
      <c r="MZZ34" s="47"/>
      <c r="NAA34" s="47"/>
      <c r="NAB34" s="47"/>
      <c r="NAC34" s="47"/>
      <c r="NAD34" s="47"/>
      <c r="NAE34" s="47"/>
      <c r="NAF34" s="47"/>
      <c r="NAG34" s="47"/>
      <c r="NAH34" s="47"/>
      <c r="NAI34" s="47"/>
      <c r="NAJ34" s="47"/>
      <c r="NAK34" s="47"/>
      <c r="NAL34" s="47"/>
      <c r="NAM34" s="47"/>
      <c r="NAN34" s="47"/>
      <c r="NAO34" s="47"/>
      <c r="NAP34" s="47"/>
      <c r="NAQ34" s="47"/>
      <c r="NAR34" s="47"/>
      <c r="NAS34" s="47"/>
      <c r="NAT34" s="47"/>
      <c r="NAU34" s="47"/>
      <c r="NAV34" s="47"/>
      <c r="NAW34" s="47"/>
      <c r="NAX34" s="47"/>
      <c r="NAY34" s="47"/>
      <c r="NAZ34" s="47"/>
      <c r="NBA34" s="47"/>
      <c r="NBB34" s="47"/>
      <c r="NBC34" s="47"/>
      <c r="NBD34" s="47"/>
      <c r="NBE34" s="47"/>
      <c r="NBF34" s="47"/>
      <c r="NBG34" s="47"/>
      <c r="NBH34" s="47"/>
      <c r="NBI34" s="47"/>
      <c r="NBJ34" s="47"/>
      <c r="NBK34" s="47"/>
      <c r="NBL34" s="47"/>
      <c r="NBM34" s="47"/>
      <c r="NBN34" s="47"/>
      <c r="NBO34" s="47"/>
      <c r="NBP34" s="47"/>
      <c r="NBQ34" s="47"/>
      <c r="NBR34" s="47"/>
      <c r="NBS34" s="47"/>
      <c r="NBT34" s="47"/>
      <c r="NBU34" s="47"/>
      <c r="NBV34" s="47"/>
      <c r="NBW34" s="47"/>
      <c r="NBX34" s="47"/>
      <c r="NBY34" s="47"/>
      <c r="NBZ34" s="47"/>
      <c r="NCA34" s="47"/>
      <c r="NCB34" s="47"/>
      <c r="NCC34" s="47"/>
      <c r="NCD34" s="47"/>
      <c r="NCE34" s="47"/>
      <c r="NCF34" s="47"/>
      <c r="NCG34" s="47"/>
      <c r="NCH34" s="47"/>
      <c r="NCI34" s="47"/>
      <c r="NCJ34" s="47"/>
      <c r="NCK34" s="47"/>
      <c r="NCL34" s="47"/>
      <c r="NCM34" s="47"/>
      <c r="NCN34" s="47"/>
      <c r="NCO34" s="47"/>
      <c r="NCP34" s="47"/>
      <c r="NCQ34" s="47"/>
      <c r="NCR34" s="47"/>
      <c r="NCS34" s="47"/>
      <c r="NCT34" s="47"/>
      <c r="NCU34" s="47"/>
      <c r="NCV34" s="47"/>
      <c r="NCW34" s="47"/>
      <c r="NCX34" s="47"/>
      <c r="NCY34" s="47"/>
      <c r="NCZ34" s="47"/>
      <c r="NDA34" s="47"/>
      <c r="NDB34" s="47"/>
      <c r="NDC34" s="47"/>
      <c r="NDD34" s="47"/>
      <c r="NDE34" s="47"/>
      <c r="NDF34" s="47"/>
      <c r="NDG34" s="47"/>
      <c r="NDH34" s="47"/>
      <c r="NDI34" s="47"/>
      <c r="NDJ34" s="47"/>
      <c r="NDK34" s="47"/>
      <c r="NDL34" s="47"/>
      <c r="NDM34" s="47"/>
      <c r="NDN34" s="47"/>
      <c r="NDO34" s="47"/>
      <c r="NDP34" s="47"/>
      <c r="NDQ34" s="47"/>
      <c r="NDR34" s="47"/>
      <c r="NDS34" s="47"/>
      <c r="NDT34" s="47"/>
      <c r="NDU34" s="47"/>
      <c r="NDV34" s="47"/>
      <c r="NDW34" s="47"/>
      <c r="NDX34" s="47"/>
      <c r="NDY34" s="47"/>
      <c r="NDZ34" s="47"/>
      <c r="NEA34" s="47"/>
      <c r="NEB34" s="47"/>
      <c r="NEC34" s="47"/>
      <c r="NED34" s="47"/>
      <c r="NEE34" s="47"/>
      <c r="NEF34" s="47"/>
      <c r="NEG34" s="47"/>
      <c r="NEH34" s="47"/>
      <c r="NEI34" s="47"/>
      <c r="NEJ34" s="47"/>
      <c r="NEK34" s="47"/>
      <c r="NEL34" s="47"/>
      <c r="NEM34" s="47"/>
      <c r="NEN34" s="47"/>
      <c r="NEO34" s="47"/>
      <c r="NEP34" s="47"/>
      <c r="NEQ34" s="47"/>
      <c r="NER34" s="47"/>
      <c r="NES34" s="47"/>
      <c r="NET34" s="47"/>
      <c r="NEU34" s="47"/>
      <c r="NEV34" s="47"/>
      <c r="NEW34" s="47"/>
      <c r="NEX34" s="47"/>
      <c r="NEY34" s="47"/>
      <c r="NEZ34" s="47"/>
      <c r="NFA34" s="47"/>
      <c r="NFB34" s="47"/>
      <c r="NFC34" s="47"/>
      <c r="NFD34" s="47"/>
      <c r="NFE34" s="47"/>
      <c r="NFF34" s="47"/>
      <c r="NFG34" s="47"/>
      <c r="NFH34" s="47"/>
      <c r="NFI34" s="47"/>
      <c r="NFJ34" s="47"/>
      <c r="NFK34" s="47"/>
      <c r="NFL34" s="47"/>
      <c r="NFM34" s="47"/>
      <c r="NFN34" s="47"/>
      <c r="NFO34" s="47"/>
      <c r="NFP34" s="47"/>
      <c r="NFQ34" s="47"/>
      <c r="NFR34" s="47"/>
      <c r="NFS34" s="47"/>
      <c r="NFT34" s="47"/>
      <c r="NFU34" s="47"/>
      <c r="NFV34" s="47"/>
      <c r="NFW34" s="47"/>
      <c r="NFX34" s="47"/>
      <c r="NFY34" s="47"/>
      <c r="NFZ34" s="47"/>
      <c r="NGA34" s="47"/>
      <c r="NGB34" s="47"/>
      <c r="NGC34" s="47"/>
      <c r="NGD34" s="47"/>
      <c r="NGE34" s="47"/>
      <c r="NGF34" s="47"/>
      <c r="NGG34" s="47"/>
      <c r="NGH34" s="47"/>
      <c r="NGI34" s="47"/>
      <c r="NGJ34" s="47"/>
      <c r="NGK34" s="47"/>
      <c r="NGL34" s="47"/>
      <c r="NGM34" s="47"/>
      <c r="NGN34" s="47"/>
      <c r="NGO34" s="47"/>
      <c r="NGP34" s="47"/>
      <c r="NGQ34" s="47"/>
      <c r="NGR34" s="47"/>
      <c r="NGS34" s="47"/>
      <c r="NGT34" s="47"/>
      <c r="NGU34" s="47"/>
      <c r="NGV34" s="47"/>
      <c r="NGW34" s="47"/>
      <c r="NGX34" s="47"/>
      <c r="NGY34" s="47"/>
      <c r="NGZ34" s="47"/>
      <c r="NHA34" s="47"/>
      <c r="NHB34" s="47"/>
      <c r="NHC34" s="47"/>
      <c r="NHD34" s="47"/>
      <c r="NHE34" s="47"/>
      <c r="NHF34" s="47"/>
      <c r="NHG34" s="47"/>
      <c r="NHH34" s="47"/>
      <c r="NHI34" s="47"/>
      <c r="NHJ34" s="47"/>
      <c r="NHK34" s="47"/>
      <c r="NHL34" s="47"/>
      <c r="NHM34" s="47"/>
      <c r="NHN34" s="47"/>
      <c r="NHO34" s="47"/>
      <c r="NHP34" s="47"/>
      <c r="NHQ34" s="47"/>
      <c r="NHR34" s="47"/>
      <c r="NHS34" s="47"/>
      <c r="NHT34" s="47"/>
      <c r="NHU34" s="47"/>
      <c r="NHV34" s="47"/>
      <c r="NHW34" s="47"/>
      <c r="NHX34" s="47"/>
      <c r="NHY34" s="47"/>
      <c r="NHZ34" s="47"/>
      <c r="NIA34" s="47"/>
      <c r="NIB34" s="47"/>
      <c r="NIC34" s="47"/>
      <c r="NID34" s="47"/>
      <c r="NIE34" s="47"/>
      <c r="NIF34" s="47"/>
      <c r="NIG34" s="47"/>
      <c r="NIH34" s="47"/>
      <c r="NII34" s="47"/>
      <c r="NIJ34" s="47"/>
      <c r="NIK34" s="47"/>
      <c r="NIL34" s="47"/>
      <c r="NIM34" s="47"/>
      <c r="NIN34" s="47"/>
      <c r="NIO34" s="47"/>
      <c r="NIP34" s="47"/>
      <c r="NIQ34" s="47"/>
      <c r="NIR34" s="47"/>
      <c r="NIS34" s="47"/>
      <c r="NIT34" s="47"/>
      <c r="NIU34" s="47"/>
      <c r="NIV34" s="47"/>
      <c r="NIW34" s="47"/>
      <c r="NIX34" s="47"/>
      <c r="NIY34" s="47"/>
      <c r="NIZ34" s="47"/>
      <c r="NJA34" s="47"/>
      <c r="NJB34" s="47"/>
      <c r="NJC34" s="47"/>
      <c r="NJD34" s="47"/>
      <c r="NJE34" s="47"/>
      <c r="NJF34" s="47"/>
      <c r="NJG34" s="47"/>
      <c r="NJH34" s="47"/>
      <c r="NJI34" s="47"/>
      <c r="NJJ34" s="47"/>
      <c r="NJK34" s="47"/>
      <c r="NJL34" s="47"/>
      <c r="NJM34" s="47"/>
      <c r="NJN34" s="47"/>
      <c r="NJO34" s="47"/>
      <c r="NJP34" s="47"/>
      <c r="NJQ34" s="47"/>
      <c r="NJR34" s="47"/>
      <c r="NJS34" s="47"/>
      <c r="NJT34" s="47"/>
      <c r="NJU34" s="47"/>
      <c r="NJV34" s="47"/>
      <c r="NJW34" s="47"/>
      <c r="NJX34" s="47"/>
      <c r="NJY34" s="47"/>
      <c r="NJZ34" s="47"/>
      <c r="NKA34" s="47"/>
      <c r="NKB34" s="47"/>
      <c r="NKC34" s="47"/>
      <c r="NKD34" s="47"/>
      <c r="NKE34" s="47"/>
      <c r="NKF34" s="47"/>
      <c r="NKG34" s="47"/>
      <c r="NKH34" s="47"/>
      <c r="NKI34" s="47"/>
      <c r="NKJ34" s="47"/>
      <c r="NKK34" s="47"/>
      <c r="NKL34" s="47"/>
      <c r="NKM34" s="47"/>
      <c r="NKN34" s="47"/>
      <c r="NKO34" s="47"/>
      <c r="NKP34" s="47"/>
      <c r="NKQ34" s="47"/>
      <c r="NKR34" s="47"/>
      <c r="NKS34" s="47"/>
      <c r="NKT34" s="47"/>
      <c r="NKU34" s="47"/>
      <c r="NKV34" s="47"/>
      <c r="NKW34" s="47"/>
      <c r="NKX34" s="47"/>
      <c r="NKY34" s="47"/>
      <c r="NKZ34" s="47"/>
      <c r="NLA34" s="47"/>
      <c r="NLB34" s="47"/>
      <c r="NLC34" s="47"/>
      <c r="NLD34" s="47"/>
      <c r="NLE34" s="47"/>
      <c r="NLF34" s="47"/>
      <c r="NLG34" s="47"/>
      <c r="NLH34" s="47"/>
      <c r="NLI34" s="47"/>
      <c r="NLJ34" s="47"/>
      <c r="NLK34" s="47"/>
      <c r="NLL34" s="47"/>
      <c r="NLM34" s="47"/>
      <c r="NLN34" s="47"/>
      <c r="NLO34" s="47"/>
      <c r="NLP34" s="47"/>
      <c r="NLQ34" s="47"/>
      <c r="NLR34" s="47"/>
      <c r="NLS34" s="47"/>
      <c r="NLT34" s="47"/>
      <c r="NLU34" s="47"/>
      <c r="NLV34" s="47"/>
      <c r="NLW34" s="47"/>
      <c r="NLX34" s="47"/>
      <c r="NLY34" s="47"/>
      <c r="NLZ34" s="47"/>
      <c r="NMA34" s="47"/>
      <c r="NMB34" s="47"/>
      <c r="NMC34" s="47"/>
      <c r="NMD34" s="47"/>
      <c r="NME34" s="47"/>
      <c r="NMF34" s="47"/>
      <c r="NMG34" s="47"/>
      <c r="NMH34" s="47"/>
      <c r="NMI34" s="47"/>
      <c r="NMJ34" s="47"/>
      <c r="NMK34" s="47"/>
      <c r="NML34" s="47"/>
      <c r="NMM34" s="47"/>
      <c r="NMN34" s="47"/>
      <c r="NMO34" s="47"/>
      <c r="NMP34" s="47"/>
      <c r="NMQ34" s="47"/>
      <c r="NMR34" s="47"/>
      <c r="NMS34" s="47"/>
      <c r="NMT34" s="47"/>
      <c r="NMU34" s="47"/>
      <c r="NMV34" s="47"/>
      <c r="NMW34" s="47"/>
      <c r="NMX34" s="47"/>
      <c r="NMY34" s="47"/>
      <c r="NMZ34" s="47"/>
      <c r="NNA34" s="47"/>
      <c r="NNB34" s="47"/>
      <c r="NNC34" s="47"/>
      <c r="NND34" s="47"/>
      <c r="NNE34" s="47"/>
      <c r="NNF34" s="47"/>
      <c r="NNG34" s="47"/>
      <c r="NNH34" s="47"/>
      <c r="NNI34" s="47"/>
      <c r="NNJ34" s="47"/>
      <c r="NNK34" s="47"/>
      <c r="NNL34" s="47"/>
      <c r="NNM34" s="47"/>
      <c r="NNN34" s="47"/>
      <c r="NNO34" s="47"/>
      <c r="NNP34" s="47"/>
      <c r="NNQ34" s="47"/>
      <c r="NNR34" s="47"/>
      <c r="NNS34" s="47"/>
      <c r="NNT34" s="47"/>
      <c r="NNU34" s="47"/>
      <c r="NNV34" s="47"/>
      <c r="NNW34" s="47"/>
      <c r="NNX34" s="47"/>
      <c r="NNY34" s="47"/>
      <c r="NNZ34" s="47"/>
      <c r="NOA34" s="47"/>
      <c r="NOB34" s="47"/>
      <c r="NOC34" s="47"/>
      <c r="NOD34" s="47"/>
      <c r="NOE34" s="47"/>
      <c r="NOF34" s="47"/>
      <c r="NOG34" s="47"/>
      <c r="NOH34" s="47"/>
      <c r="NOI34" s="47"/>
      <c r="NOJ34" s="47"/>
      <c r="NOK34" s="47"/>
      <c r="NOL34" s="47"/>
      <c r="NOM34" s="47"/>
      <c r="NON34" s="47"/>
      <c r="NOO34" s="47"/>
      <c r="NOP34" s="47"/>
      <c r="NOQ34" s="47"/>
      <c r="NOR34" s="47"/>
      <c r="NOS34" s="47"/>
      <c r="NOT34" s="47"/>
      <c r="NOU34" s="47"/>
      <c r="NOV34" s="47"/>
      <c r="NOW34" s="47"/>
      <c r="NOX34" s="47"/>
      <c r="NOY34" s="47"/>
      <c r="NOZ34" s="47"/>
      <c r="NPA34" s="47"/>
      <c r="NPB34" s="47"/>
      <c r="NPC34" s="47"/>
      <c r="NPD34" s="47"/>
      <c r="NPE34" s="47"/>
      <c r="NPF34" s="47"/>
      <c r="NPG34" s="47"/>
      <c r="NPH34" s="47"/>
      <c r="NPI34" s="47"/>
      <c r="NPJ34" s="47"/>
      <c r="NPK34" s="47"/>
      <c r="NPL34" s="47"/>
      <c r="NPM34" s="47"/>
      <c r="NPN34" s="47"/>
      <c r="NPO34" s="47"/>
      <c r="NPP34" s="47"/>
      <c r="NPQ34" s="47"/>
      <c r="NPR34" s="47"/>
      <c r="NPS34" s="47"/>
      <c r="NPT34" s="47"/>
      <c r="NPU34" s="47"/>
      <c r="NPV34" s="47"/>
      <c r="NPW34" s="47"/>
      <c r="NPX34" s="47"/>
      <c r="NPY34" s="47"/>
      <c r="NPZ34" s="47"/>
      <c r="NQA34" s="47"/>
      <c r="NQB34" s="47"/>
      <c r="NQC34" s="47"/>
      <c r="NQD34" s="47"/>
      <c r="NQE34" s="47"/>
      <c r="NQF34" s="47"/>
      <c r="NQG34" s="47"/>
      <c r="NQH34" s="47"/>
      <c r="NQI34" s="47"/>
      <c r="NQJ34" s="47"/>
      <c r="NQK34" s="47"/>
      <c r="NQL34" s="47"/>
      <c r="NQM34" s="47"/>
      <c r="NQN34" s="47"/>
      <c r="NQO34" s="47"/>
      <c r="NQP34" s="47"/>
      <c r="NQQ34" s="47"/>
      <c r="NQR34" s="47"/>
      <c r="NQS34" s="47"/>
      <c r="NQT34" s="47"/>
      <c r="NQU34" s="47"/>
      <c r="NQV34" s="47"/>
      <c r="NQW34" s="47"/>
      <c r="NQX34" s="47"/>
      <c r="NQY34" s="47"/>
      <c r="NQZ34" s="47"/>
      <c r="NRA34" s="47"/>
      <c r="NRB34" s="47"/>
      <c r="NRC34" s="47"/>
      <c r="NRD34" s="47"/>
      <c r="NRE34" s="47"/>
      <c r="NRF34" s="47"/>
      <c r="NRG34" s="47"/>
      <c r="NRH34" s="47"/>
      <c r="NRI34" s="47"/>
      <c r="NRJ34" s="47"/>
      <c r="NRK34" s="47"/>
      <c r="NRL34" s="47"/>
      <c r="NRM34" s="47"/>
      <c r="NRN34" s="47"/>
      <c r="NRO34" s="47"/>
      <c r="NRP34" s="47"/>
      <c r="NRQ34" s="47"/>
      <c r="NRR34" s="47"/>
      <c r="NRS34" s="47"/>
      <c r="NRT34" s="47"/>
      <c r="NRU34" s="47"/>
      <c r="NRV34" s="47"/>
      <c r="NRW34" s="47"/>
      <c r="NRX34" s="47"/>
      <c r="NRY34" s="47"/>
      <c r="NRZ34" s="47"/>
      <c r="NSA34" s="47"/>
      <c r="NSB34" s="47"/>
      <c r="NSC34" s="47"/>
      <c r="NSD34" s="47"/>
      <c r="NSE34" s="47"/>
      <c r="NSF34" s="47"/>
      <c r="NSG34" s="47"/>
      <c r="NSH34" s="47"/>
      <c r="NSI34" s="47"/>
      <c r="NSJ34" s="47"/>
      <c r="NSK34" s="47"/>
      <c r="NSL34" s="47"/>
      <c r="NSM34" s="47"/>
      <c r="NSN34" s="47"/>
      <c r="NSO34" s="47"/>
      <c r="NSP34" s="47"/>
      <c r="NSQ34" s="47"/>
      <c r="NSR34" s="47"/>
      <c r="NSS34" s="47"/>
      <c r="NST34" s="47"/>
      <c r="NSU34" s="47"/>
      <c r="NSV34" s="47"/>
      <c r="NSW34" s="47"/>
      <c r="NSX34" s="47"/>
      <c r="NSY34" s="47"/>
      <c r="NSZ34" s="47"/>
      <c r="NTA34" s="47"/>
      <c r="NTB34" s="47"/>
      <c r="NTC34" s="47"/>
      <c r="NTD34" s="47"/>
      <c r="NTE34" s="47"/>
      <c r="NTF34" s="47"/>
      <c r="NTG34" s="47"/>
      <c r="NTH34" s="47"/>
      <c r="NTI34" s="47"/>
      <c r="NTJ34" s="47"/>
      <c r="NTK34" s="47"/>
      <c r="NTL34" s="47"/>
      <c r="NTM34" s="47"/>
      <c r="NTN34" s="47"/>
      <c r="NTO34" s="47"/>
      <c r="NTP34" s="47"/>
      <c r="NTQ34" s="47"/>
      <c r="NTR34" s="47"/>
      <c r="NTS34" s="47"/>
      <c r="NTT34" s="47"/>
      <c r="NTU34" s="47"/>
      <c r="NTV34" s="47"/>
      <c r="NTW34" s="47"/>
      <c r="NTX34" s="47"/>
      <c r="NTY34" s="47"/>
      <c r="NTZ34" s="47"/>
      <c r="NUA34" s="47"/>
      <c r="NUB34" s="47"/>
      <c r="NUC34" s="47"/>
      <c r="NUD34" s="47"/>
      <c r="NUE34" s="47"/>
      <c r="NUF34" s="47"/>
      <c r="NUG34" s="47"/>
      <c r="NUH34" s="47"/>
      <c r="NUI34" s="47"/>
      <c r="NUJ34" s="47"/>
      <c r="NUK34" s="47"/>
      <c r="NUL34" s="47"/>
      <c r="NUM34" s="47"/>
      <c r="NUN34" s="47"/>
      <c r="NUO34" s="47"/>
      <c r="NUP34" s="47"/>
      <c r="NUQ34" s="47"/>
      <c r="NUR34" s="47"/>
      <c r="NUS34" s="47"/>
      <c r="NUT34" s="47"/>
      <c r="NUU34" s="47"/>
      <c r="NUV34" s="47"/>
      <c r="NUW34" s="47"/>
      <c r="NUX34" s="47"/>
      <c r="NUY34" s="47"/>
      <c r="NUZ34" s="47"/>
      <c r="NVA34" s="47"/>
      <c r="NVB34" s="47"/>
      <c r="NVC34" s="47"/>
      <c r="NVD34" s="47"/>
      <c r="NVE34" s="47"/>
      <c r="NVF34" s="47"/>
      <c r="NVG34" s="47"/>
      <c r="NVH34" s="47"/>
      <c r="NVI34" s="47"/>
      <c r="NVJ34" s="47"/>
      <c r="NVK34" s="47"/>
      <c r="NVL34" s="47"/>
      <c r="NVM34" s="47"/>
      <c r="NVN34" s="47"/>
      <c r="NVO34" s="47"/>
      <c r="NVP34" s="47"/>
      <c r="NVQ34" s="47"/>
      <c r="NVR34" s="47"/>
      <c r="NVS34" s="47"/>
      <c r="NVT34" s="47"/>
      <c r="NVU34" s="47"/>
      <c r="NVV34" s="47"/>
      <c r="NVW34" s="47"/>
      <c r="NVX34" s="47"/>
      <c r="NVY34" s="47"/>
      <c r="NVZ34" s="47"/>
      <c r="NWA34" s="47"/>
      <c r="NWB34" s="47"/>
      <c r="NWC34" s="47"/>
      <c r="NWD34" s="47"/>
      <c r="NWE34" s="47"/>
      <c r="NWF34" s="47"/>
      <c r="NWG34" s="47"/>
      <c r="NWH34" s="47"/>
      <c r="NWI34" s="47"/>
      <c r="NWJ34" s="47"/>
      <c r="NWK34" s="47"/>
      <c r="NWL34" s="47"/>
      <c r="NWM34" s="47"/>
      <c r="NWN34" s="47"/>
      <c r="NWO34" s="47"/>
      <c r="NWP34" s="47"/>
      <c r="NWQ34" s="47"/>
      <c r="NWR34" s="47"/>
      <c r="NWS34" s="47"/>
      <c r="NWT34" s="47"/>
      <c r="NWU34" s="47"/>
      <c r="NWV34" s="47"/>
      <c r="NWW34" s="47"/>
      <c r="NWX34" s="47"/>
      <c r="NWY34" s="47"/>
      <c r="NWZ34" s="47"/>
      <c r="NXA34" s="47"/>
      <c r="NXB34" s="47"/>
      <c r="NXC34" s="47"/>
      <c r="NXD34" s="47"/>
      <c r="NXE34" s="47"/>
      <c r="NXF34" s="47"/>
      <c r="NXG34" s="47"/>
      <c r="NXH34" s="47"/>
      <c r="NXI34" s="47"/>
      <c r="NXJ34" s="47"/>
      <c r="NXK34" s="47"/>
      <c r="NXL34" s="47"/>
      <c r="NXM34" s="47"/>
      <c r="NXN34" s="47"/>
      <c r="NXO34" s="47"/>
      <c r="NXP34" s="47"/>
      <c r="NXQ34" s="47"/>
      <c r="NXR34" s="47"/>
      <c r="NXS34" s="47"/>
      <c r="NXT34" s="47"/>
      <c r="NXU34" s="47"/>
      <c r="NXV34" s="47"/>
      <c r="NXW34" s="47"/>
      <c r="NXX34" s="47"/>
      <c r="NXY34" s="47"/>
      <c r="NXZ34" s="47"/>
      <c r="NYA34" s="47"/>
      <c r="NYB34" s="47"/>
      <c r="NYC34" s="47"/>
      <c r="NYD34" s="47"/>
      <c r="NYE34" s="47"/>
      <c r="NYF34" s="47"/>
      <c r="NYG34" s="47"/>
      <c r="NYH34" s="47"/>
      <c r="NYI34" s="47"/>
      <c r="NYJ34" s="47"/>
      <c r="NYK34" s="47"/>
      <c r="NYL34" s="47"/>
      <c r="NYM34" s="47"/>
      <c r="NYN34" s="47"/>
      <c r="NYO34" s="47"/>
      <c r="NYP34" s="47"/>
      <c r="NYQ34" s="47"/>
      <c r="NYR34" s="47"/>
      <c r="NYS34" s="47"/>
      <c r="NYT34" s="47"/>
      <c r="NYU34" s="47"/>
      <c r="NYV34" s="47"/>
      <c r="NYW34" s="47"/>
      <c r="NYX34" s="47"/>
      <c r="NYY34" s="47"/>
      <c r="NYZ34" s="47"/>
      <c r="NZA34" s="47"/>
      <c r="NZB34" s="47"/>
      <c r="NZC34" s="47"/>
      <c r="NZD34" s="47"/>
      <c r="NZE34" s="47"/>
      <c r="NZF34" s="47"/>
      <c r="NZG34" s="47"/>
      <c r="NZH34" s="47"/>
      <c r="NZI34" s="47"/>
      <c r="NZJ34" s="47"/>
      <c r="NZK34" s="47"/>
      <c r="NZL34" s="47"/>
      <c r="NZM34" s="47"/>
      <c r="NZN34" s="47"/>
      <c r="NZO34" s="47"/>
      <c r="NZP34" s="47"/>
      <c r="NZQ34" s="47"/>
      <c r="NZR34" s="47"/>
      <c r="NZS34" s="47"/>
      <c r="NZT34" s="47"/>
      <c r="NZU34" s="47"/>
      <c r="NZV34" s="47"/>
      <c r="NZW34" s="47"/>
      <c r="NZX34" s="47"/>
      <c r="NZY34" s="47"/>
      <c r="NZZ34" s="47"/>
      <c r="OAA34" s="47"/>
      <c r="OAB34" s="47"/>
      <c r="OAC34" s="47"/>
      <c r="OAD34" s="47"/>
      <c r="OAE34" s="47"/>
      <c r="OAF34" s="47"/>
      <c r="OAG34" s="47"/>
      <c r="OAH34" s="47"/>
      <c r="OAI34" s="47"/>
      <c r="OAJ34" s="47"/>
      <c r="OAK34" s="47"/>
      <c r="OAL34" s="47"/>
      <c r="OAM34" s="47"/>
      <c r="OAN34" s="47"/>
      <c r="OAO34" s="47"/>
      <c r="OAP34" s="47"/>
      <c r="OAQ34" s="47"/>
      <c r="OAR34" s="47"/>
      <c r="OAS34" s="47"/>
      <c r="OAT34" s="47"/>
      <c r="OAU34" s="47"/>
      <c r="OAV34" s="47"/>
      <c r="OAW34" s="47"/>
      <c r="OAX34" s="47"/>
      <c r="OAY34" s="47"/>
      <c r="OAZ34" s="47"/>
      <c r="OBA34" s="47"/>
      <c r="OBB34" s="47"/>
      <c r="OBC34" s="47"/>
      <c r="OBD34" s="47"/>
      <c r="OBE34" s="47"/>
      <c r="OBF34" s="47"/>
      <c r="OBG34" s="47"/>
      <c r="OBH34" s="47"/>
      <c r="OBI34" s="47"/>
      <c r="OBJ34" s="47"/>
      <c r="OBK34" s="47"/>
      <c r="OBL34" s="47"/>
      <c r="OBM34" s="47"/>
      <c r="OBN34" s="47"/>
      <c r="OBO34" s="47"/>
      <c r="OBP34" s="47"/>
      <c r="OBQ34" s="47"/>
      <c r="OBR34" s="47"/>
      <c r="OBS34" s="47"/>
      <c r="OBT34" s="47"/>
      <c r="OBU34" s="47"/>
      <c r="OBV34" s="47"/>
      <c r="OBW34" s="47"/>
      <c r="OBX34" s="47"/>
      <c r="OBY34" s="47"/>
      <c r="OBZ34" s="47"/>
      <c r="OCA34" s="47"/>
      <c r="OCB34" s="47"/>
      <c r="OCC34" s="47"/>
      <c r="OCD34" s="47"/>
      <c r="OCE34" s="47"/>
      <c r="OCF34" s="47"/>
      <c r="OCG34" s="47"/>
      <c r="OCH34" s="47"/>
      <c r="OCI34" s="47"/>
      <c r="OCJ34" s="47"/>
      <c r="OCK34" s="47"/>
      <c r="OCL34" s="47"/>
      <c r="OCM34" s="47"/>
      <c r="OCN34" s="47"/>
      <c r="OCO34" s="47"/>
      <c r="OCP34" s="47"/>
      <c r="OCQ34" s="47"/>
      <c r="OCR34" s="47"/>
      <c r="OCS34" s="47"/>
      <c r="OCT34" s="47"/>
      <c r="OCU34" s="47"/>
      <c r="OCV34" s="47"/>
      <c r="OCW34" s="47"/>
      <c r="OCX34" s="47"/>
      <c r="OCY34" s="47"/>
      <c r="OCZ34" s="47"/>
      <c r="ODA34" s="47"/>
      <c r="ODB34" s="47"/>
      <c r="ODC34" s="47"/>
      <c r="ODD34" s="47"/>
      <c r="ODE34" s="47"/>
      <c r="ODF34" s="47"/>
      <c r="ODG34" s="47"/>
      <c r="ODH34" s="47"/>
      <c r="ODI34" s="47"/>
      <c r="ODJ34" s="47"/>
      <c r="ODK34" s="47"/>
      <c r="ODL34" s="47"/>
      <c r="ODM34" s="47"/>
      <c r="ODN34" s="47"/>
      <c r="ODO34" s="47"/>
      <c r="ODP34" s="47"/>
      <c r="ODQ34" s="47"/>
      <c r="ODR34" s="47"/>
      <c r="ODS34" s="47"/>
      <c r="ODT34" s="47"/>
      <c r="ODU34" s="47"/>
      <c r="ODV34" s="47"/>
      <c r="ODW34" s="47"/>
      <c r="ODX34" s="47"/>
      <c r="ODY34" s="47"/>
      <c r="ODZ34" s="47"/>
      <c r="OEA34" s="47"/>
      <c r="OEB34" s="47"/>
      <c r="OEC34" s="47"/>
      <c r="OED34" s="47"/>
      <c r="OEE34" s="47"/>
      <c r="OEF34" s="47"/>
      <c r="OEG34" s="47"/>
      <c r="OEH34" s="47"/>
      <c r="OEI34" s="47"/>
      <c r="OEJ34" s="47"/>
      <c r="OEK34" s="47"/>
      <c r="OEL34" s="47"/>
      <c r="OEM34" s="47"/>
      <c r="OEN34" s="47"/>
      <c r="OEO34" s="47"/>
      <c r="OEP34" s="47"/>
      <c r="OEQ34" s="47"/>
      <c r="OER34" s="47"/>
      <c r="OES34" s="47"/>
      <c r="OET34" s="47"/>
      <c r="OEU34" s="47"/>
      <c r="OEV34" s="47"/>
      <c r="OEW34" s="47"/>
      <c r="OEX34" s="47"/>
      <c r="OEY34" s="47"/>
      <c r="OEZ34" s="47"/>
      <c r="OFA34" s="47"/>
      <c r="OFB34" s="47"/>
      <c r="OFC34" s="47"/>
      <c r="OFD34" s="47"/>
      <c r="OFE34" s="47"/>
      <c r="OFF34" s="47"/>
      <c r="OFG34" s="47"/>
      <c r="OFH34" s="47"/>
      <c r="OFI34" s="47"/>
      <c r="OFJ34" s="47"/>
      <c r="OFK34" s="47"/>
      <c r="OFL34" s="47"/>
      <c r="OFM34" s="47"/>
      <c r="OFN34" s="47"/>
      <c r="OFO34" s="47"/>
      <c r="OFP34" s="47"/>
      <c r="OFQ34" s="47"/>
      <c r="OFR34" s="47"/>
      <c r="OFS34" s="47"/>
      <c r="OFT34" s="47"/>
      <c r="OFU34" s="47"/>
      <c r="OFV34" s="47"/>
      <c r="OFW34" s="47"/>
      <c r="OFX34" s="47"/>
      <c r="OFY34" s="47"/>
      <c r="OFZ34" s="47"/>
      <c r="OGA34" s="47"/>
      <c r="OGB34" s="47"/>
      <c r="OGC34" s="47"/>
      <c r="OGD34" s="47"/>
      <c r="OGE34" s="47"/>
      <c r="OGF34" s="47"/>
      <c r="OGG34" s="47"/>
      <c r="OGH34" s="47"/>
      <c r="OGI34" s="47"/>
      <c r="OGJ34" s="47"/>
      <c r="OGK34" s="47"/>
      <c r="OGL34" s="47"/>
      <c r="OGM34" s="47"/>
      <c r="OGN34" s="47"/>
      <c r="OGO34" s="47"/>
      <c r="OGP34" s="47"/>
      <c r="OGQ34" s="47"/>
      <c r="OGR34" s="47"/>
      <c r="OGS34" s="47"/>
      <c r="OGT34" s="47"/>
      <c r="OGU34" s="47"/>
      <c r="OGV34" s="47"/>
      <c r="OGW34" s="47"/>
      <c r="OGX34" s="47"/>
      <c r="OGY34" s="47"/>
      <c r="OGZ34" s="47"/>
      <c r="OHA34" s="47"/>
      <c r="OHB34" s="47"/>
      <c r="OHC34" s="47"/>
      <c r="OHD34" s="47"/>
      <c r="OHE34" s="47"/>
      <c r="OHF34" s="47"/>
      <c r="OHG34" s="47"/>
      <c r="OHH34" s="47"/>
      <c r="OHI34" s="47"/>
      <c r="OHJ34" s="47"/>
      <c r="OHK34" s="47"/>
      <c r="OHL34" s="47"/>
      <c r="OHM34" s="47"/>
      <c r="OHN34" s="47"/>
      <c r="OHO34" s="47"/>
      <c r="OHP34" s="47"/>
      <c r="OHQ34" s="47"/>
      <c r="OHR34" s="47"/>
      <c r="OHS34" s="47"/>
      <c r="OHT34" s="47"/>
      <c r="OHU34" s="47"/>
      <c r="OHV34" s="47"/>
      <c r="OHW34" s="47"/>
      <c r="OHX34" s="47"/>
      <c r="OHY34" s="47"/>
      <c r="OHZ34" s="47"/>
      <c r="OIA34" s="47"/>
      <c r="OIB34" s="47"/>
      <c r="OIC34" s="47"/>
      <c r="OID34" s="47"/>
      <c r="OIE34" s="47"/>
      <c r="OIF34" s="47"/>
      <c r="OIG34" s="47"/>
      <c r="OIH34" s="47"/>
      <c r="OII34" s="47"/>
      <c r="OIJ34" s="47"/>
      <c r="OIK34" s="47"/>
      <c r="OIL34" s="47"/>
      <c r="OIM34" s="47"/>
      <c r="OIN34" s="47"/>
      <c r="OIO34" s="47"/>
      <c r="OIP34" s="47"/>
      <c r="OIQ34" s="47"/>
      <c r="OIR34" s="47"/>
      <c r="OIS34" s="47"/>
      <c r="OIT34" s="47"/>
      <c r="OIU34" s="47"/>
      <c r="OIV34" s="47"/>
      <c r="OIW34" s="47"/>
      <c r="OIX34" s="47"/>
      <c r="OIY34" s="47"/>
      <c r="OIZ34" s="47"/>
      <c r="OJA34" s="47"/>
      <c r="OJB34" s="47"/>
      <c r="OJC34" s="47"/>
      <c r="OJD34" s="47"/>
      <c r="OJE34" s="47"/>
      <c r="OJF34" s="47"/>
      <c r="OJG34" s="47"/>
      <c r="OJH34" s="47"/>
      <c r="OJI34" s="47"/>
      <c r="OJJ34" s="47"/>
      <c r="OJK34" s="47"/>
      <c r="OJL34" s="47"/>
      <c r="OJM34" s="47"/>
      <c r="OJN34" s="47"/>
      <c r="OJO34" s="47"/>
      <c r="OJP34" s="47"/>
      <c r="OJQ34" s="47"/>
      <c r="OJR34" s="47"/>
      <c r="OJS34" s="47"/>
      <c r="OJT34" s="47"/>
      <c r="OJU34" s="47"/>
      <c r="OJV34" s="47"/>
      <c r="OJW34" s="47"/>
      <c r="OJX34" s="47"/>
      <c r="OJY34" s="47"/>
      <c r="OJZ34" s="47"/>
      <c r="OKA34" s="47"/>
      <c r="OKB34" s="47"/>
      <c r="OKC34" s="47"/>
      <c r="OKD34" s="47"/>
      <c r="OKE34" s="47"/>
      <c r="OKF34" s="47"/>
      <c r="OKG34" s="47"/>
      <c r="OKH34" s="47"/>
      <c r="OKI34" s="47"/>
      <c r="OKJ34" s="47"/>
      <c r="OKK34" s="47"/>
      <c r="OKL34" s="47"/>
      <c r="OKM34" s="47"/>
      <c r="OKN34" s="47"/>
      <c r="OKO34" s="47"/>
      <c r="OKP34" s="47"/>
      <c r="OKQ34" s="47"/>
      <c r="OKR34" s="47"/>
      <c r="OKS34" s="47"/>
      <c r="OKT34" s="47"/>
      <c r="OKU34" s="47"/>
      <c r="OKV34" s="47"/>
      <c r="OKW34" s="47"/>
      <c r="OKX34" s="47"/>
      <c r="OKY34" s="47"/>
      <c r="OKZ34" s="47"/>
      <c r="OLA34" s="47"/>
      <c r="OLB34" s="47"/>
      <c r="OLC34" s="47"/>
      <c r="OLD34" s="47"/>
      <c r="OLE34" s="47"/>
      <c r="OLF34" s="47"/>
      <c r="OLG34" s="47"/>
      <c r="OLH34" s="47"/>
      <c r="OLI34" s="47"/>
      <c r="OLJ34" s="47"/>
      <c r="OLK34" s="47"/>
      <c r="OLL34" s="47"/>
      <c r="OLM34" s="47"/>
      <c r="OLN34" s="47"/>
      <c r="OLO34" s="47"/>
      <c r="OLP34" s="47"/>
      <c r="OLQ34" s="47"/>
      <c r="OLR34" s="47"/>
      <c r="OLS34" s="47"/>
      <c r="OLT34" s="47"/>
      <c r="OLU34" s="47"/>
      <c r="OLV34" s="47"/>
      <c r="OLW34" s="47"/>
      <c r="OLX34" s="47"/>
      <c r="OLY34" s="47"/>
      <c r="OLZ34" s="47"/>
      <c r="OMA34" s="47"/>
      <c r="OMB34" s="47"/>
      <c r="OMC34" s="47"/>
      <c r="OMD34" s="47"/>
      <c r="OME34" s="47"/>
      <c r="OMF34" s="47"/>
      <c r="OMG34" s="47"/>
      <c r="OMH34" s="47"/>
      <c r="OMI34" s="47"/>
      <c r="OMJ34" s="47"/>
      <c r="OMK34" s="47"/>
      <c r="OML34" s="47"/>
      <c r="OMM34" s="47"/>
      <c r="OMN34" s="47"/>
      <c r="OMO34" s="47"/>
      <c r="OMP34" s="47"/>
      <c r="OMQ34" s="47"/>
      <c r="OMR34" s="47"/>
      <c r="OMS34" s="47"/>
      <c r="OMT34" s="47"/>
      <c r="OMU34" s="47"/>
      <c r="OMV34" s="47"/>
      <c r="OMW34" s="47"/>
      <c r="OMX34" s="47"/>
      <c r="OMY34" s="47"/>
      <c r="OMZ34" s="47"/>
      <c r="ONA34" s="47"/>
      <c r="ONB34" s="47"/>
      <c r="ONC34" s="47"/>
      <c r="OND34" s="47"/>
      <c r="ONE34" s="47"/>
      <c r="ONF34" s="47"/>
      <c r="ONG34" s="47"/>
      <c r="ONH34" s="47"/>
      <c r="ONI34" s="47"/>
      <c r="ONJ34" s="47"/>
      <c r="ONK34" s="47"/>
      <c r="ONL34" s="47"/>
      <c r="ONM34" s="47"/>
      <c r="ONN34" s="47"/>
      <c r="ONO34" s="47"/>
      <c r="ONP34" s="47"/>
      <c r="ONQ34" s="47"/>
      <c r="ONR34" s="47"/>
      <c r="ONS34" s="47"/>
      <c r="ONT34" s="47"/>
      <c r="ONU34" s="47"/>
      <c r="ONV34" s="47"/>
      <c r="ONW34" s="47"/>
      <c r="ONX34" s="47"/>
      <c r="ONY34" s="47"/>
      <c r="ONZ34" s="47"/>
      <c r="OOA34" s="47"/>
      <c r="OOB34" s="47"/>
      <c r="OOC34" s="47"/>
      <c r="OOD34" s="47"/>
      <c r="OOE34" s="47"/>
      <c r="OOF34" s="47"/>
      <c r="OOG34" s="47"/>
      <c r="OOH34" s="47"/>
      <c r="OOI34" s="47"/>
      <c r="OOJ34" s="47"/>
      <c r="OOK34" s="47"/>
      <c r="OOL34" s="47"/>
      <c r="OOM34" s="47"/>
      <c r="OON34" s="47"/>
      <c r="OOO34" s="47"/>
      <c r="OOP34" s="47"/>
      <c r="OOQ34" s="47"/>
      <c r="OOR34" s="47"/>
      <c r="OOS34" s="47"/>
      <c r="OOT34" s="47"/>
      <c r="OOU34" s="47"/>
      <c r="OOV34" s="47"/>
      <c r="OOW34" s="47"/>
      <c r="OOX34" s="47"/>
      <c r="OOY34" s="47"/>
      <c r="OOZ34" s="47"/>
      <c r="OPA34" s="47"/>
      <c r="OPB34" s="47"/>
      <c r="OPC34" s="47"/>
      <c r="OPD34" s="47"/>
      <c r="OPE34" s="47"/>
      <c r="OPF34" s="47"/>
      <c r="OPG34" s="47"/>
      <c r="OPH34" s="47"/>
      <c r="OPI34" s="47"/>
      <c r="OPJ34" s="47"/>
      <c r="OPK34" s="47"/>
      <c r="OPL34" s="47"/>
      <c r="OPM34" s="47"/>
      <c r="OPN34" s="47"/>
      <c r="OPO34" s="47"/>
      <c r="OPP34" s="47"/>
      <c r="OPQ34" s="47"/>
      <c r="OPR34" s="47"/>
      <c r="OPS34" s="47"/>
      <c r="OPT34" s="47"/>
      <c r="OPU34" s="47"/>
      <c r="OPV34" s="47"/>
      <c r="OPW34" s="47"/>
      <c r="OPX34" s="47"/>
      <c r="OPY34" s="47"/>
      <c r="OPZ34" s="47"/>
      <c r="OQA34" s="47"/>
      <c r="OQB34" s="47"/>
      <c r="OQC34" s="47"/>
      <c r="OQD34" s="47"/>
      <c r="OQE34" s="47"/>
      <c r="OQF34" s="47"/>
      <c r="OQG34" s="47"/>
      <c r="OQH34" s="47"/>
      <c r="OQI34" s="47"/>
      <c r="OQJ34" s="47"/>
      <c r="OQK34" s="47"/>
      <c r="OQL34" s="47"/>
      <c r="OQM34" s="47"/>
      <c r="OQN34" s="47"/>
      <c r="OQO34" s="47"/>
      <c r="OQP34" s="47"/>
      <c r="OQQ34" s="47"/>
      <c r="OQR34" s="47"/>
      <c r="OQS34" s="47"/>
      <c r="OQT34" s="47"/>
      <c r="OQU34" s="47"/>
      <c r="OQV34" s="47"/>
      <c r="OQW34" s="47"/>
      <c r="OQX34" s="47"/>
      <c r="OQY34" s="47"/>
      <c r="OQZ34" s="47"/>
      <c r="ORA34" s="47"/>
      <c r="ORB34" s="47"/>
      <c r="ORC34" s="47"/>
      <c r="ORD34" s="47"/>
      <c r="ORE34" s="47"/>
      <c r="ORF34" s="47"/>
      <c r="ORG34" s="47"/>
      <c r="ORH34" s="47"/>
      <c r="ORI34" s="47"/>
      <c r="ORJ34" s="47"/>
      <c r="ORK34" s="47"/>
      <c r="ORL34" s="47"/>
      <c r="ORM34" s="47"/>
      <c r="ORN34" s="47"/>
      <c r="ORO34" s="47"/>
      <c r="ORP34" s="47"/>
      <c r="ORQ34" s="47"/>
      <c r="ORR34" s="47"/>
      <c r="ORS34" s="47"/>
      <c r="ORT34" s="47"/>
      <c r="ORU34" s="47"/>
      <c r="ORV34" s="47"/>
      <c r="ORW34" s="47"/>
      <c r="ORX34" s="47"/>
      <c r="ORY34" s="47"/>
      <c r="ORZ34" s="47"/>
      <c r="OSA34" s="47"/>
      <c r="OSB34" s="47"/>
      <c r="OSC34" s="47"/>
      <c r="OSD34" s="47"/>
      <c r="OSE34" s="47"/>
      <c r="OSF34" s="47"/>
      <c r="OSG34" s="47"/>
      <c r="OSH34" s="47"/>
      <c r="OSI34" s="47"/>
      <c r="OSJ34" s="47"/>
      <c r="OSK34" s="47"/>
      <c r="OSL34" s="47"/>
      <c r="OSM34" s="47"/>
      <c r="OSN34" s="47"/>
      <c r="OSO34" s="47"/>
      <c r="OSP34" s="47"/>
      <c r="OSQ34" s="47"/>
      <c r="OSR34" s="47"/>
      <c r="OSS34" s="47"/>
      <c r="OST34" s="47"/>
      <c r="OSU34" s="47"/>
      <c r="OSV34" s="47"/>
      <c r="OSW34" s="47"/>
      <c r="OSX34" s="47"/>
      <c r="OSY34" s="47"/>
      <c r="OSZ34" s="47"/>
      <c r="OTA34" s="47"/>
      <c r="OTB34" s="47"/>
      <c r="OTC34" s="47"/>
      <c r="OTD34" s="47"/>
      <c r="OTE34" s="47"/>
      <c r="OTF34" s="47"/>
      <c r="OTG34" s="47"/>
      <c r="OTH34" s="47"/>
      <c r="OTI34" s="47"/>
      <c r="OTJ34" s="47"/>
      <c r="OTK34" s="47"/>
      <c r="OTL34" s="47"/>
      <c r="OTM34" s="47"/>
      <c r="OTN34" s="47"/>
      <c r="OTO34" s="47"/>
      <c r="OTP34" s="47"/>
      <c r="OTQ34" s="47"/>
      <c r="OTR34" s="47"/>
      <c r="OTS34" s="47"/>
      <c r="OTT34" s="47"/>
      <c r="OTU34" s="47"/>
      <c r="OTV34" s="47"/>
      <c r="OTW34" s="47"/>
      <c r="OTX34" s="47"/>
      <c r="OTY34" s="47"/>
      <c r="OTZ34" s="47"/>
      <c r="OUA34" s="47"/>
      <c r="OUB34" s="47"/>
      <c r="OUC34" s="47"/>
      <c r="OUD34" s="47"/>
      <c r="OUE34" s="47"/>
      <c r="OUF34" s="47"/>
      <c r="OUG34" s="47"/>
      <c r="OUH34" s="47"/>
      <c r="OUI34" s="47"/>
      <c r="OUJ34" s="47"/>
      <c r="OUK34" s="47"/>
      <c r="OUL34" s="47"/>
      <c r="OUM34" s="47"/>
      <c r="OUN34" s="47"/>
      <c r="OUO34" s="47"/>
      <c r="OUP34" s="47"/>
      <c r="OUQ34" s="47"/>
      <c r="OUR34" s="47"/>
      <c r="OUS34" s="47"/>
      <c r="OUT34" s="47"/>
      <c r="OUU34" s="47"/>
      <c r="OUV34" s="47"/>
      <c r="OUW34" s="47"/>
      <c r="OUX34" s="47"/>
      <c r="OUY34" s="47"/>
      <c r="OUZ34" s="47"/>
      <c r="OVA34" s="47"/>
      <c r="OVB34" s="47"/>
      <c r="OVC34" s="47"/>
      <c r="OVD34" s="47"/>
      <c r="OVE34" s="47"/>
      <c r="OVF34" s="47"/>
      <c r="OVG34" s="47"/>
      <c r="OVH34" s="47"/>
      <c r="OVI34" s="47"/>
      <c r="OVJ34" s="47"/>
      <c r="OVK34" s="47"/>
      <c r="OVL34" s="47"/>
      <c r="OVM34" s="47"/>
      <c r="OVN34" s="47"/>
      <c r="OVO34" s="47"/>
      <c r="OVP34" s="47"/>
      <c r="OVQ34" s="47"/>
      <c r="OVR34" s="47"/>
      <c r="OVS34" s="47"/>
      <c r="OVT34" s="47"/>
      <c r="OVU34" s="47"/>
      <c r="OVV34" s="47"/>
      <c r="OVW34" s="47"/>
      <c r="OVX34" s="47"/>
      <c r="OVY34" s="47"/>
      <c r="OVZ34" s="47"/>
      <c r="OWA34" s="47"/>
      <c r="OWB34" s="47"/>
      <c r="OWC34" s="47"/>
      <c r="OWD34" s="47"/>
      <c r="OWE34" s="47"/>
      <c r="OWF34" s="47"/>
      <c r="OWG34" s="47"/>
      <c r="OWH34" s="47"/>
      <c r="OWI34" s="47"/>
      <c r="OWJ34" s="47"/>
      <c r="OWK34" s="47"/>
      <c r="OWL34" s="47"/>
      <c r="OWM34" s="47"/>
      <c r="OWN34" s="47"/>
      <c r="OWO34" s="47"/>
      <c r="OWP34" s="47"/>
      <c r="OWQ34" s="47"/>
      <c r="OWR34" s="47"/>
      <c r="OWS34" s="47"/>
      <c r="OWT34" s="47"/>
      <c r="OWU34" s="47"/>
      <c r="OWV34" s="47"/>
      <c r="OWW34" s="47"/>
      <c r="OWX34" s="47"/>
      <c r="OWY34" s="47"/>
      <c r="OWZ34" s="47"/>
      <c r="OXA34" s="47"/>
      <c r="OXB34" s="47"/>
      <c r="OXC34" s="47"/>
      <c r="OXD34" s="47"/>
      <c r="OXE34" s="47"/>
      <c r="OXF34" s="47"/>
      <c r="OXG34" s="47"/>
      <c r="OXH34" s="47"/>
      <c r="OXI34" s="47"/>
      <c r="OXJ34" s="47"/>
      <c r="OXK34" s="47"/>
      <c r="OXL34" s="47"/>
      <c r="OXM34" s="47"/>
      <c r="OXN34" s="47"/>
      <c r="OXO34" s="47"/>
      <c r="OXP34" s="47"/>
      <c r="OXQ34" s="47"/>
      <c r="OXR34" s="47"/>
      <c r="OXS34" s="47"/>
      <c r="OXT34" s="47"/>
      <c r="OXU34" s="47"/>
      <c r="OXV34" s="47"/>
      <c r="OXW34" s="47"/>
      <c r="OXX34" s="47"/>
      <c r="OXY34" s="47"/>
      <c r="OXZ34" s="47"/>
      <c r="OYA34" s="47"/>
      <c r="OYB34" s="47"/>
      <c r="OYC34" s="47"/>
      <c r="OYD34" s="47"/>
      <c r="OYE34" s="47"/>
      <c r="OYF34" s="47"/>
      <c r="OYG34" s="47"/>
      <c r="OYH34" s="47"/>
      <c r="OYI34" s="47"/>
      <c r="OYJ34" s="47"/>
      <c r="OYK34" s="47"/>
      <c r="OYL34" s="47"/>
      <c r="OYM34" s="47"/>
      <c r="OYN34" s="47"/>
      <c r="OYO34" s="47"/>
      <c r="OYP34" s="47"/>
      <c r="OYQ34" s="47"/>
      <c r="OYR34" s="47"/>
      <c r="OYS34" s="47"/>
      <c r="OYT34" s="47"/>
      <c r="OYU34" s="47"/>
      <c r="OYV34" s="47"/>
      <c r="OYW34" s="47"/>
      <c r="OYX34" s="47"/>
      <c r="OYY34" s="47"/>
      <c r="OYZ34" s="47"/>
      <c r="OZA34" s="47"/>
      <c r="OZB34" s="47"/>
      <c r="OZC34" s="47"/>
      <c r="OZD34" s="47"/>
      <c r="OZE34" s="47"/>
      <c r="OZF34" s="47"/>
      <c r="OZG34" s="47"/>
      <c r="OZH34" s="47"/>
      <c r="OZI34" s="47"/>
      <c r="OZJ34" s="47"/>
      <c r="OZK34" s="47"/>
      <c r="OZL34" s="47"/>
      <c r="OZM34" s="47"/>
      <c r="OZN34" s="47"/>
      <c r="OZO34" s="47"/>
      <c r="OZP34" s="47"/>
      <c r="OZQ34" s="47"/>
      <c r="OZR34" s="47"/>
      <c r="OZS34" s="47"/>
      <c r="OZT34" s="47"/>
      <c r="OZU34" s="47"/>
      <c r="OZV34" s="47"/>
      <c r="OZW34" s="47"/>
      <c r="OZX34" s="47"/>
      <c r="OZY34" s="47"/>
      <c r="OZZ34" s="47"/>
      <c r="PAA34" s="47"/>
      <c r="PAB34" s="47"/>
      <c r="PAC34" s="47"/>
      <c r="PAD34" s="47"/>
      <c r="PAE34" s="47"/>
      <c r="PAF34" s="47"/>
      <c r="PAG34" s="47"/>
      <c r="PAH34" s="47"/>
      <c r="PAI34" s="47"/>
      <c r="PAJ34" s="47"/>
      <c r="PAK34" s="47"/>
      <c r="PAL34" s="47"/>
      <c r="PAM34" s="47"/>
      <c r="PAN34" s="47"/>
      <c r="PAO34" s="47"/>
      <c r="PAP34" s="47"/>
      <c r="PAQ34" s="47"/>
      <c r="PAR34" s="47"/>
      <c r="PAS34" s="47"/>
      <c r="PAT34" s="47"/>
      <c r="PAU34" s="47"/>
      <c r="PAV34" s="47"/>
      <c r="PAW34" s="47"/>
      <c r="PAX34" s="47"/>
      <c r="PAY34" s="47"/>
      <c r="PAZ34" s="47"/>
      <c r="PBA34" s="47"/>
      <c r="PBB34" s="47"/>
      <c r="PBC34" s="47"/>
      <c r="PBD34" s="47"/>
      <c r="PBE34" s="47"/>
      <c r="PBF34" s="47"/>
      <c r="PBG34" s="47"/>
      <c r="PBH34" s="47"/>
      <c r="PBI34" s="47"/>
      <c r="PBJ34" s="47"/>
      <c r="PBK34" s="47"/>
      <c r="PBL34" s="47"/>
      <c r="PBM34" s="47"/>
      <c r="PBN34" s="47"/>
      <c r="PBO34" s="47"/>
      <c r="PBP34" s="47"/>
      <c r="PBQ34" s="47"/>
      <c r="PBR34" s="47"/>
      <c r="PBS34" s="47"/>
      <c r="PBT34" s="47"/>
      <c r="PBU34" s="47"/>
      <c r="PBV34" s="47"/>
      <c r="PBW34" s="47"/>
      <c r="PBX34" s="47"/>
      <c r="PBY34" s="47"/>
      <c r="PBZ34" s="47"/>
      <c r="PCA34" s="47"/>
      <c r="PCB34" s="47"/>
      <c r="PCC34" s="47"/>
      <c r="PCD34" s="47"/>
      <c r="PCE34" s="47"/>
      <c r="PCF34" s="47"/>
      <c r="PCG34" s="47"/>
      <c r="PCH34" s="47"/>
      <c r="PCI34" s="47"/>
      <c r="PCJ34" s="47"/>
      <c r="PCK34" s="47"/>
      <c r="PCL34" s="47"/>
      <c r="PCM34" s="47"/>
      <c r="PCN34" s="47"/>
      <c r="PCO34" s="47"/>
      <c r="PCP34" s="47"/>
      <c r="PCQ34" s="47"/>
      <c r="PCR34" s="47"/>
      <c r="PCS34" s="47"/>
      <c r="PCT34" s="47"/>
      <c r="PCU34" s="47"/>
      <c r="PCV34" s="47"/>
      <c r="PCW34" s="47"/>
      <c r="PCX34" s="47"/>
      <c r="PCY34" s="47"/>
      <c r="PCZ34" s="47"/>
      <c r="PDA34" s="47"/>
      <c r="PDB34" s="47"/>
      <c r="PDC34" s="47"/>
      <c r="PDD34" s="47"/>
      <c r="PDE34" s="47"/>
      <c r="PDF34" s="47"/>
      <c r="PDG34" s="47"/>
      <c r="PDH34" s="47"/>
      <c r="PDI34" s="47"/>
      <c r="PDJ34" s="47"/>
      <c r="PDK34" s="47"/>
      <c r="PDL34" s="47"/>
      <c r="PDM34" s="47"/>
      <c r="PDN34" s="47"/>
      <c r="PDO34" s="47"/>
      <c r="PDP34" s="47"/>
      <c r="PDQ34" s="47"/>
      <c r="PDR34" s="47"/>
      <c r="PDS34" s="47"/>
      <c r="PDT34" s="47"/>
      <c r="PDU34" s="47"/>
      <c r="PDV34" s="47"/>
      <c r="PDW34" s="47"/>
      <c r="PDX34" s="47"/>
      <c r="PDY34" s="47"/>
      <c r="PDZ34" s="47"/>
      <c r="PEA34" s="47"/>
      <c r="PEB34" s="47"/>
      <c r="PEC34" s="47"/>
      <c r="PED34" s="47"/>
      <c r="PEE34" s="47"/>
      <c r="PEF34" s="47"/>
      <c r="PEG34" s="47"/>
      <c r="PEH34" s="47"/>
      <c r="PEI34" s="47"/>
      <c r="PEJ34" s="47"/>
      <c r="PEK34" s="47"/>
      <c r="PEL34" s="47"/>
      <c r="PEM34" s="47"/>
      <c r="PEN34" s="47"/>
      <c r="PEO34" s="47"/>
      <c r="PEP34" s="47"/>
      <c r="PEQ34" s="47"/>
      <c r="PER34" s="47"/>
      <c r="PES34" s="47"/>
      <c r="PET34" s="47"/>
      <c r="PEU34" s="47"/>
      <c r="PEV34" s="47"/>
      <c r="PEW34" s="47"/>
      <c r="PEX34" s="47"/>
      <c r="PEY34" s="47"/>
      <c r="PEZ34" s="47"/>
      <c r="PFA34" s="47"/>
      <c r="PFB34" s="47"/>
      <c r="PFC34" s="47"/>
      <c r="PFD34" s="47"/>
      <c r="PFE34" s="47"/>
      <c r="PFF34" s="47"/>
      <c r="PFG34" s="47"/>
      <c r="PFH34" s="47"/>
      <c r="PFI34" s="47"/>
      <c r="PFJ34" s="47"/>
      <c r="PFK34" s="47"/>
      <c r="PFL34" s="47"/>
      <c r="PFM34" s="47"/>
      <c r="PFN34" s="47"/>
      <c r="PFO34" s="47"/>
      <c r="PFP34" s="47"/>
      <c r="PFQ34" s="47"/>
      <c r="PFR34" s="47"/>
      <c r="PFS34" s="47"/>
      <c r="PFT34" s="47"/>
      <c r="PFU34" s="47"/>
      <c r="PFV34" s="47"/>
      <c r="PFW34" s="47"/>
      <c r="PFX34" s="47"/>
      <c r="PFY34" s="47"/>
      <c r="PFZ34" s="47"/>
      <c r="PGA34" s="47"/>
      <c r="PGB34" s="47"/>
      <c r="PGC34" s="47"/>
      <c r="PGD34" s="47"/>
      <c r="PGE34" s="47"/>
      <c r="PGF34" s="47"/>
      <c r="PGG34" s="47"/>
      <c r="PGH34" s="47"/>
      <c r="PGI34" s="47"/>
      <c r="PGJ34" s="47"/>
      <c r="PGK34" s="47"/>
      <c r="PGL34" s="47"/>
      <c r="PGM34" s="47"/>
      <c r="PGN34" s="47"/>
      <c r="PGO34" s="47"/>
      <c r="PGP34" s="47"/>
      <c r="PGQ34" s="47"/>
      <c r="PGR34" s="47"/>
      <c r="PGS34" s="47"/>
      <c r="PGT34" s="47"/>
      <c r="PGU34" s="47"/>
      <c r="PGV34" s="47"/>
      <c r="PGW34" s="47"/>
      <c r="PGX34" s="47"/>
      <c r="PGY34" s="47"/>
      <c r="PGZ34" s="47"/>
      <c r="PHA34" s="47"/>
      <c r="PHB34" s="47"/>
      <c r="PHC34" s="47"/>
      <c r="PHD34" s="47"/>
      <c r="PHE34" s="47"/>
      <c r="PHF34" s="47"/>
      <c r="PHG34" s="47"/>
      <c r="PHH34" s="47"/>
      <c r="PHI34" s="47"/>
      <c r="PHJ34" s="47"/>
      <c r="PHK34" s="47"/>
      <c r="PHL34" s="47"/>
      <c r="PHM34" s="47"/>
      <c r="PHN34" s="47"/>
      <c r="PHO34" s="47"/>
      <c r="PHP34" s="47"/>
      <c r="PHQ34" s="47"/>
      <c r="PHR34" s="47"/>
      <c r="PHS34" s="47"/>
      <c r="PHT34" s="47"/>
      <c r="PHU34" s="47"/>
      <c r="PHV34" s="47"/>
      <c r="PHW34" s="47"/>
      <c r="PHX34" s="47"/>
      <c r="PHY34" s="47"/>
      <c r="PHZ34" s="47"/>
      <c r="PIA34" s="47"/>
      <c r="PIB34" s="47"/>
      <c r="PIC34" s="47"/>
      <c r="PID34" s="47"/>
      <c r="PIE34" s="47"/>
      <c r="PIF34" s="47"/>
      <c r="PIG34" s="47"/>
      <c r="PIH34" s="47"/>
      <c r="PII34" s="47"/>
      <c r="PIJ34" s="47"/>
      <c r="PIK34" s="47"/>
      <c r="PIL34" s="47"/>
      <c r="PIM34" s="47"/>
      <c r="PIN34" s="47"/>
      <c r="PIO34" s="47"/>
      <c r="PIP34" s="47"/>
      <c r="PIQ34" s="47"/>
      <c r="PIR34" s="47"/>
      <c r="PIS34" s="47"/>
      <c r="PIT34" s="47"/>
      <c r="PIU34" s="47"/>
      <c r="PIV34" s="47"/>
      <c r="PIW34" s="47"/>
      <c r="PIX34" s="47"/>
      <c r="PIY34" s="47"/>
      <c r="PIZ34" s="47"/>
      <c r="PJA34" s="47"/>
      <c r="PJB34" s="47"/>
      <c r="PJC34" s="47"/>
      <c r="PJD34" s="47"/>
      <c r="PJE34" s="47"/>
      <c r="PJF34" s="47"/>
      <c r="PJG34" s="47"/>
      <c r="PJH34" s="47"/>
      <c r="PJI34" s="47"/>
      <c r="PJJ34" s="47"/>
      <c r="PJK34" s="47"/>
      <c r="PJL34" s="47"/>
      <c r="PJM34" s="47"/>
      <c r="PJN34" s="47"/>
      <c r="PJO34" s="47"/>
      <c r="PJP34" s="47"/>
      <c r="PJQ34" s="47"/>
      <c r="PJR34" s="47"/>
      <c r="PJS34" s="47"/>
      <c r="PJT34" s="47"/>
      <c r="PJU34" s="47"/>
      <c r="PJV34" s="47"/>
      <c r="PJW34" s="47"/>
      <c r="PJX34" s="47"/>
      <c r="PJY34" s="47"/>
      <c r="PJZ34" s="47"/>
      <c r="PKA34" s="47"/>
      <c r="PKB34" s="47"/>
      <c r="PKC34" s="47"/>
      <c r="PKD34" s="47"/>
      <c r="PKE34" s="47"/>
      <c r="PKF34" s="47"/>
      <c r="PKG34" s="47"/>
      <c r="PKH34" s="47"/>
      <c r="PKI34" s="47"/>
      <c r="PKJ34" s="47"/>
      <c r="PKK34" s="47"/>
      <c r="PKL34" s="47"/>
      <c r="PKM34" s="47"/>
      <c r="PKN34" s="47"/>
      <c r="PKO34" s="47"/>
      <c r="PKP34" s="47"/>
      <c r="PKQ34" s="47"/>
      <c r="PKR34" s="47"/>
      <c r="PKS34" s="47"/>
      <c r="PKT34" s="47"/>
      <c r="PKU34" s="47"/>
      <c r="PKV34" s="47"/>
      <c r="PKW34" s="47"/>
      <c r="PKX34" s="47"/>
      <c r="PKY34" s="47"/>
      <c r="PKZ34" s="47"/>
      <c r="PLA34" s="47"/>
      <c r="PLB34" s="47"/>
      <c r="PLC34" s="47"/>
      <c r="PLD34" s="47"/>
      <c r="PLE34" s="47"/>
      <c r="PLF34" s="47"/>
      <c r="PLG34" s="47"/>
      <c r="PLH34" s="47"/>
      <c r="PLI34" s="47"/>
      <c r="PLJ34" s="47"/>
      <c r="PLK34" s="47"/>
      <c r="PLL34" s="47"/>
      <c r="PLM34" s="47"/>
      <c r="PLN34" s="47"/>
      <c r="PLO34" s="47"/>
      <c r="PLP34" s="47"/>
      <c r="PLQ34" s="47"/>
      <c r="PLR34" s="47"/>
      <c r="PLS34" s="47"/>
      <c r="PLT34" s="47"/>
      <c r="PLU34" s="47"/>
      <c r="PLV34" s="47"/>
      <c r="PLW34" s="47"/>
      <c r="PLX34" s="47"/>
      <c r="PLY34" s="47"/>
      <c r="PLZ34" s="47"/>
      <c r="PMA34" s="47"/>
      <c r="PMB34" s="47"/>
      <c r="PMC34" s="47"/>
      <c r="PMD34" s="47"/>
      <c r="PME34" s="47"/>
      <c r="PMF34" s="47"/>
      <c r="PMG34" s="47"/>
      <c r="PMH34" s="47"/>
      <c r="PMI34" s="47"/>
      <c r="PMJ34" s="47"/>
      <c r="PMK34" s="47"/>
      <c r="PML34" s="47"/>
      <c r="PMM34" s="47"/>
      <c r="PMN34" s="47"/>
      <c r="PMO34" s="47"/>
      <c r="PMP34" s="47"/>
      <c r="PMQ34" s="47"/>
      <c r="PMR34" s="47"/>
      <c r="PMS34" s="47"/>
      <c r="PMT34" s="47"/>
      <c r="PMU34" s="47"/>
      <c r="PMV34" s="47"/>
      <c r="PMW34" s="47"/>
      <c r="PMX34" s="47"/>
      <c r="PMY34" s="47"/>
      <c r="PMZ34" s="47"/>
      <c r="PNA34" s="47"/>
      <c r="PNB34" s="47"/>
      <c r="PNC34" s="47"/>
      <c r="PND34" s="47"/>
      <c r="PNE34" s="47"/>
      <c r="PNF34" s="47"/>
      <c r="PNG34" s="47"/>
      <c r="PNH34" s="47"/>
      <c r="PNI34" s="47"/>
      <c r="PNJ34" s="47"/>
      <c r="PNK34" s="47"/>
      <c r="PNL34" s="47"/>
      <c r="PNM34" s="47"/>
      <c r="PNN34" s="47"/>
      <c r="PNO34" s="47"/>
      <c r="PNP34" s="47"/>
      <c r="PNQ34" s="47"/>
      <c r="PNR34" s="47"/>
      <c r="PNS34" s="47"/>
      <c r="PNT34" s="47"/>
      <c r="PNU34" s="47"/>
      <c r="PNV34" s="47"/>
      <c r="PNW34" s="47"/>
      <c r="PNX34" s="47"/>
      <c r="PNY34" s="47"/>
      <c r="PNZ34" s="47"/>
      <c r="POA34" s="47"/>
      <c r="POB34" s="47"/>
      <c r="POC34" s="47"/>
      <c r="POD34" s="47"/>
      <c r="POE34" s="47"/>
      <c r="POF34" s="47"/>
      <c r="POG34" s="47"/>
      <c r="POH34" s="47"/>
      <c r="POI34" s="47"/>
      <c r="POJ34" s="47"/>
      <c r="POK34" s="47"/>
      <c r="POL34" s="47"/>
      <c r="POM34" s="47"/>
      <c r="PON34" s="47"/>
      <c r="POO34" s="47"/>
      <c r="POP34" s="47"/>
      <c r="POQ34" s="47"/>
      <c r="POR34" s="47"/>
      <c r="POS34" s="47"/>
      <c r="POT34" s="47"/>
      <c r="POU34" s="47"/>
      <c r="POV34" s="47"/>
      <c r="POW34" s="47"/>
      <c r="POX34" s="47"/>
      <c r="POY34" s="47"/>
      <c r="POZ34" s="47"/>
      <c r="PPA34" s="47"/>
      <c r="PPB34" s="47"/>
      <c r="PPC34" s="47"/>
      <c r="PPD34" s="47"/>
      <c r="PPE34" s="47"/>
      <c r="PPF34" s="47"/>
      <c r="PPG34" s="47"/>
      <c r="PPH34" s="47"/>
      <c r="PPI34" s="47"/>
      <c r="PPJ34" s="47"/>
      <c r="PPK34" s="47"/>
      <c r="PPL34" s="47"/>
      <c r="PPM34" s="47"/>
      <c r="PPN34" s="47"/>
      <c r="PPO34" s="47"/>
      <c r="PPP34" s="47"/>
      <c r="PPQ34" s="47"/>
      <c r="PPR34" s="47"/>
      <c r="PPS34" s="47"/>
      <c r="PPT34" s="47"/>
      <c r="PPU34" s="47"/>
      <c r="PPV34" s="47"/>
      <c r="PPW34" s="47"/>
      <c r="PPX34" s="47"/>
      <c r="PPY34" s="47"/>
      <c r="PPZ34" s="47"/>
      <c r="PQA34" s="47"/>
      <c r="PQB34" s="47"/>
      <c r="PQC34" s="47"/>
      <c r="PQD34" s="47"/>
      <c r="PQE34" s="47"/>
      <c r="PQF34" s="47"/>
      <c r="PQG34" s="47"/>
      <c r="PQH34" s="47"/>
      <c r="PQI34" s="47"/>
      <c r="PQJ34" s="47"/>
      <c r="PQK34" s="47"/>
      <c r="PQL34" s="47"/>
      <c r="PQM34" s="47"/>
      <c r="PQN34" s="47"/>
      <c r="PQO34" s="47"/>
      <c r="PQP34" s="47"/>
      <c r="PQQ34" s="47"/>
      <c r="PQR34" s="47"/>
      <c r="PQS34" s="47"/>
      <c r="PQT34" s="47"/>
      <c r="PQU34" s="47"/>
      <c r="PQV34" s="47"/>
      <c r="PQW34" s="47"/>
      <c r="PQX34" s="47"/>
      <c r="PQY34" s="47"/>
      <c r="PQZ34" s="47"/>
      <c r="PRA34" s="47"/>
      <c r="PRB34" s="47"/>
      <c r="PRC34" s="47"/>
      <c r="PRD34" s="47"/>
      <c r="PRE34" s="47"/>
      <c r="PRF34" s="47"/>
      <c r="PRG34" s="47"/>
      <c r="PRH34" s="47"/>
      <c r="PRI34" s="47"/>
      <c r="PRJ34" s="47"/>
      <c r="PRK34" s="47"/>
      <c r="PRL34" s="47"/>
      <c r="PRM34" s="47"/>
      <c r="PRN34" s="47"/>
      <c r="PRO34" s="47"/>
      <c r="PRP34" s="47"/>
      <c r="PRQ34" s="47"/>
      <c r="PRR34" s="47"/>
      <c r="PRS34" s="47"/>
      <c r="PRT34" s="47"/>
      <c r="PRU34" s="47"/>
      <c r="PRV34" s="47"/>
      <c r="PRW34" s="47"/>
      <c r="PRX34" s="47"/>
      <c r="PRY34" s="47"/>
      <c r="PRZ34" s="47"/>
      <c r="PSA34" s="47"/>
      <c r="PSB34" s="47"/>
      <c r="PSC34" s="47"/>
      <c r="PSD34" s="47"/>
      <c r="PSE34" s="47"/>
      <c r="PSF34" s="47"/>
      <c r="PSG34" s="47"/>
      <c r="PSH34" s="47"/>
      <c r="PSI34" s="47"/>
      <c r="PSJ34" s="47"/>
      <c r="PSK34" s="47"/>
      <c r="PSL34" s="47"/>
      <c r="PSM34" s="47"/>
      <c r="PSN34" s="47"/>
      <c r="PSO34" s="47"/>
      <c r="PSP34" s="47"/>
      <c r="PSQ34" s="47"/>
      <c r="PSR34" s="47"/>
      <c r="PSS34" s="47"/>
      <c r="PST34" s="47"/>
      <c r="PSU34" s="47"/>
      <c r="PSV34" s="47"/>
      <c r="PSW34" s="47"/>
      <c r="PSX34" s="47"/>
      <c r="PSY34" s="47"/>
      <c r="PSZ34" s="47"/>
      <c r="PTA34" s="47"/>
      <c r="PTB34" s="47"/>
      <c r="PTC34" s="47"/>
      <c r="PTD34" s="47"/>
      <c r="PTE34" s="47"/>
      <c r="PTF34" s="47"/>
      <c r="PTG34" s="47"/>
      <c r="PTH34" s="47"/>
      <c r="PTI34" s="47"/>
      <c r="PTJ34" s="47"/>
      <c r="PTK34" s="47"/>
      <c r="PTL34" s="47"/>
      <c r="PTM34" s="47"/>
      <c r="PTN34" s="47"/>
      <c r="PTO34" s="47"/>
      <c r="PTP34" s="47"/>
      <c r="PTQ34" s="47"/>
      <c r="PTR34" s="47"/>
      <c r="PTS34" s="47"/>
      <c r="PTT34" s="47"/>
      <c r="PTU34" s="47"/>
      <c r="PTV34" s="47"/>
      <c r="PTW34" s="47"/>
      <c r="PTX34" s="47"/>
      <c r="PTY34" s="47"/>
      <c r="PTZ34" s="47"/>
      <c r="PUA34" s="47"/>
      <c r="PUB34" s="47"/>
      <c r="PUC34" s="47"/>
      <c r="PUD34" s="47"/>
      <c r="PUE34" s="47"/>
      <c r="PUF34" s="47"/>
      <c r="PUG34" s="47"/>
      <c r="PUH34" s="47"/>
      <c r="PUI34" s="47"/>
      <c r="PUJ34" s="47"/>
      <c r="PUK34" s="47"/>
      <c r="PUL34" s="47"/>
      <c r="PUM34" s="47"/>
      <c r="PUN34" s="47"/>
      <c r="PUO34" s="47"/>
      <c r="PUP34" s="47"/>
      <c r="PUQ34" s="47"/>
      <c r="PUR34" s="47"/>
      <c r="PUS34" s="47"/>
      <c r="PUT34" s="47"/>
      <c r="PUU34" s="47"/>
      <c r="PUV34" s="47"/>
      <c r="PUW34" s="47"/>
      <c r="PUX34" s="47"/>
      <c r="PUY34" s="47"/>
      <c r="PUZ34" s="47"/>
      <c r="PVA34" s="47"/>
      <c r="PVB34" s="47"/>
      <c r="PVC34" s="47"/>
      <c r="PVD34" s="47"/>
      <c r="PVE34" s="47"/>
      <c r="PVF34" s="47"/>
      <c r="PVG34" s="47"/>
      <c r="PVH34" s="47"/>
      <c r="PVI34" s="47"/>
      <c r="PVJ34" s="47"/>
      <c r="PVK34" s="47"/>
      <c r="PVL34" s="47"/>
      <c r="PVM34" s="47"/>
      <c r="PVN34" s="47"/>
      <c r="PVO34" s="47"/>
      <c r="PVP34" s="47"/>
      <c r="PVQ34" s="47"/>
      <c r="PVR34" s="47"/>
      <c r="PVS34" s="47"/>
      <c r="PVT34" s="47"/>
      <c r="PVU34" s="47"/>
      <c r="PVV34" s="47"/>
      <c r="PVW34" s="47"/>
      <c r="PVX34" s="47"/>
      <c r="PVY34" s="47"/>
      <c r="PVZ34" s="47"/>
      <c r="PWA34" s="47"/>
      <c r="PWB34" s="47"/>
      <c r="PWC34" s="47"/>
      <c r="PWD34" s="47"/>
      <c r="PWE34" s="47"/>
      <c r="PWF34" s="47"/>
      <c r="PWG34" s="47"/>
      <c r="PWH34" s="47"/>
      <c r="PWI34" s="47"/>
      <c r="PWJ34" s="47"/>
      <c r="PWK34" s="47"/>
      <c r="PWL34" s="47"/>
      <c r="PWM34" s="47"/>
      <c r="PWN34" s="47"/>
      <c r="PWO34" s="47"/>
      <c r="PWP34" s="47"/>
      <c r="PWQ34" s="47"/>
      <c r="PWR34" s="47"/>
      <c r="PWS34" s="47"/>
      <c r="PWT34" s="47"/>
      <c r="PWU34" s="47"/>
      <c r="PWV34" s="47"/>
      <c r="PWW34" s="47"/>
      <c r="PWX34" s="47"/>
      <c r="PWY34" s="47"/>
      <c r="PWZ34" s="47"/>
      <c r="PXA34" s="47"/>
      <c r="PXB34" s="47"/>
      <c r="PXC34" s="47"/>
      <c r="PXD34" s="47"/>
      <c r="PXE34" s="47"/>
      <c r="PXF34" s="47"/>
      <c r="PXG34" s="47"/>
      <c r="PXH34" s="47"/>
      <c r="PXI34" s="47"/>
      <c r="PXJ34" s="47"/>
      <c r="PXK34" s="47"/>
      <c r="PXL34" s="47"/>
      <c r="PXM34" s="47"/>
      <c r="PXN34" s="47"/>
      <c r="PXO34" s="47"/>
      <c r="PXP34" s="47"/>
      <c r="PXQ34" s="47"/>
      <c r="PXR34" s="47"/>
      <c r="PXS34" s="47"/>
      <c r="PXT34" s="47"/>
      <c r="PXU34" s="47"/>
      <c r="PXV34" s="47"/>
      <c r="PXW34" s="47"/>
      <c r="PXX34" s="47"/>
      <c r="PXY34" s="47"/>
      <c r="PXZ34" s="47"/>
      <c r="PYA34" s="47"/>
      <c r="PYB34" s="47"/>
      <c r="PYC34" s="47"/>
      <c r="PYD34" s="47"/>
      <c r="PYE34" s="47"/>
      <c r="PYF34" s="47"/>
      <c r="PYG34" s="47"/>
      <c r="PYH34" s="47"/>
      <c r="PYI34" s="47"/>
      <c r="PYJ34" s="47"/>
      <c r="PYK34" s="47"/>
      <c r="PYL34" s="47"/>
      <c r="PYM34" s="47"/>
      <c r="PYN34" s="47"/>
      <c r="PYO34" s="47"/>
      <c r="PYP34" s="47"/>
      <c r="PYQ34" s="47"/>
      <c r="PYR34" s="47"/>
      <c r="PYS34" s="47"/>
      <c r="PYT34" s="47"/>
      <c r="PYU34" s="47"/>
      <c r="PYV34" s="47"/>
      <c r="PYW34" s="47"/>
      <c r="PYX34" s="47"/>
      <c r="PYY34" s="47"/>
      <c r="PYZ34" s="47"/>
      <c r="PZA34" s="47"/>
      <c r="PZB34" s="47"/>
      <c r="PZC34" s="47"/>
      <c r="PZD34" s="47"/>
      <c r="PZE34" s="47"/>
      <c r="PZF34" s="47"/>
      <c r="PZG34" s="47"/>
      <c r="PZH34" s="47"/>
      <c r="PZI34" s="47"/>
      <c r="PZJ34" s="47"/>
      <c r="PZK34" s="47"/>
      <c r="PZL34" s="47"/>
      <c r="PZM34" s="47"/>
      <c r="PZN34" s="47"/>
      <c r="PZO34" s="47"/>
      <c r="PZP34" s="47"/>
      <c r="PZQ34" s="47"/>
      <c r="PZR34" s="47"/>
      <c r="PZS34" s="47"/>
      <c r="PZT34" s="47"/>
      <c r="PZU34" s="47"/>
      <c r="PZV34" s="47"/>
      <c r="PZW34" s="47"/>
      <c r="PZX34" s="47"/>
      <c r="PZY34" s="47"/>
      <c r="PZZ34" s="47"/>
      <c r="QAA34" s="47"/>
      <c r="QAB34" s="47"/>
      <c r="QAC34" s="47"/>
      <c r="QAD34" s="47"/>
      <c r="QAE34" s="47"/>
      <c r="QAF34" s="47"/>
      <c r="QAG34" s="47"/>
      <c r="QAH34" s="47"/>
      <c r="QAI34" s="47"/>
      <c r="QAJ34" s="47"/>
      <c r="QAK34" s="47"/>
      <c r="QAL34" s="47"/>
      <c r="QAM34" s="47"/>
      <c r="QAN34" s="47"/>
      <c r="QAO34" s="47"/>
      <c r="QAP34" s="47"/>
      <c r="QAQ34" s="47"/>
      <c r="QAR34" s="47"/>
      <c r="QAS34" s="47"/>
      <c r="QAT34" s="47"/>
      <c r="QAU34" s="47"/>
      <c r="QAV34" s="47"/>
      <c r="QAW34" s="47"/>
      <c r="QAX34" s="47"/>
      <c r="QAY34" s="47"/>
      <c r="QAZ34" s="47"/>
      <c r="QBA34" s="47"/>
      <c r="QBB34" s="47"/>
      <c r="QBC34" s="47"/>
      <c r="QBD34" s="47"/>
      <c r="QBE34" s="47"/>
      <c r="QBF34" s="47"/>
      <c r="QBG34" s="47"/>
      <c r="QBH34" s="47"/>
      <c r="QBI34" s="47"/>
      <c r="QBJ34" s="47"/>
      <c r="QBK34" s="47"/>
      <c r="QBL34" s="47"/>
      <c r="QBM34" s="47"/>
      <c r="QBN34" s="47"/>
      <c r="QBO34" s="47"/>
      <c r="QBP34" s="47"/>
      <c r="QBQ34" s="47"/>
      <c r="QBR34" s="47"/>
      <c r="QBS34" s="47"/>
      <c r="QBT34" s="47"/>
      <c r="QBU34" s="47"/>
      <c r="QBV34" s="47"/>
      <c r="QBW34" s="47"/>
      <c r="QBX34" s="47"/>
      <c r="QBY34" s="47"/>
      <c r="QBZ34" s="47"/>
      <c r="QCA34" s="47"/>
      <c r="QCB34" s="47"/>
      <c r="QCC34" s="47"/>
      <c r="QCD34" s="47"/>
      <c r="QCE34" s="47"/>
      <c r="QCF34" s="47"/>
      <c r="QCG34" s="47"/>
      <c r="QCH34" s="47"/>
      <c r="QCI34" s="47"/>
      <c r="QCJ34" s="47"/>
      <c r="QCK34" s="47"/>
      <c r="QCL34" s="47"/>
      <c r="QCM34" s="47"/>
      <c r="QCN34" s="47"/>
      <c r="QCO34" s="47"/>
      <c r="QCP34" s="47"/>
      <c r="QCQ34" s="47"/>
      <c r="QCR34" s="47"/>
      <c r="QCS34" s="47"/>
      <c r="QCT34" s="47"/>
      <c r="QCU34" s="47"/>
      <c r="QCV34" s="47"/>
      <c r="QCW34" s="47"/>
      <c r="QCX34" s="47"/>
      <c r="QCY34" s="47"/>
      <c r="QCZ34" s="47"/>
      <c r="QDA34" s="47"/>
      <c r="QDB34" s="47"/>
      <c r="QDC34" s="47"/>
      <c r="QDD34" s="47"/>
      <c r="QDE34" s="47"/>
      <c r="QDF34" s="47"/>
      <c r="QDG34" s="47"/>
      <c r="QDH34" s="47"/>
      <c r="QDI34" s="47"/>
      <c r="QDJ34" s="47"/>
      <c r="QDK34" s="47"/>
      <c r="QDL34" s="47"/>
      <c r="QDM34" s="47"/>
      <c r="QDN34" s="47"/>
      <c r="QDO34" s="47"/>
      <c r="QDP34" s="47"/>
      <c r="QDQ34" s="47"/>
      <c r="QDR34" s="47"/>
      <c r="QDS34" s="47"/>
      <c r="QDT34" s="47"/>
      <c r="QDU34" s="47"/>
      <c r="QDV34" s="47"/>
      <c r="QDW34" s="47"/>
      <c r="QDX34" s="47"/>
      <c r="QDY34" s="47"/>
      <c r="QDZ34" s="47"/>
      <c r="QEA34" s="47"/>
      <c r="QEB34" s="47"/>
      <c r="QEC34" s="47"/>
      <c r="QED34" s="47"/>
      <c r="QEE34" s="47"/>
      <c r="QEF34" s="47"/>
      <c r="QEG34" s="47"/>
      <c r="QEH34" s="47"/>
      <c r="QEI34" s="47"/>
      <c r="QEJ34" s="47"/>
      <c r="QEK34" s="47"/>
      <c r="QEL34" s="47"/>
      <c r="QEM34" s="47"/>
      <c r="QEN34" s="47"/>
      <c r="QEO34" s="47"/>
      <c r="QEP34" s="47"/>
      <c r="QEQ34" s="47"/>
      <c r="QER34" s="47"/>
      <c r="QES34" s="47"/>
      <c r="QET34" s="47"/>
      <c r="QEU34" s="47"/>
      <c r="QEV34" s="47"/>
      <c r="QEW34" s="47"/>
      <c r="QEX34" s="47"/>
      <c r="QEY34" s="47"/>
      <c r="QEZ34" s="47"/>
      <c r="QFA34" s="47"/>
      <c r="QFB34" s="47"/>
      <c r="QFC34" s="47"/>
      <c r="QFD34" s="47"/>
      <c r="QFE34" s="47"/>
      <c r="QFF34" s="47"/>
      <c r="QFG34" s="47"/>
      <c r="QFH34" s="47"/>
      <c r="QFI34" s="47"/>
      <c r="QFJ34" s="47"/>
      <c r="QFK34" s="47"/>
      <c r="QFL34" s="47"/>
      <c r="QFM34" s="47"/>
      <c r="QFN34" s="47"/>
      <c r="QFO34" s="47"/>
      <c r="QFP34" s="47"/>
      <c r="QFQ34" s="47"/>
      <c r="QFR34" s="47"/>
      <c r="QFS34" s="47"/>
      <c r="QFT34" s="47"/>
      <c r="QFU34" s="47"/>
      <c r="QFV34" s="47"/>
      <c r="QFW34" s="47"/>
      <c r="QFX34" s="47"/>
      <c r="QFY34" s="47"/>
      <c r="QFZ34" s="47"/>
      <c r="QGA34" s="47"/>
      <c r="QGB34" s="47"/>
      <c r="QGC34" s="47"/>
      <c r="QGD34" s="47"/>
      <c r="QGE34" s="47"/>
      <c r="QGF34" s="47"/>
      <c r="QGG34" s="47"/>
      <c r="QGH34" s="47"/>
      <c r="QGI34" s="47"/>
      <c r="QGJ34" s="47"/>
      <c r="QGK34" s="47"/>
      <c r="QGL34" s="47"/>
      <c r="QGM34" s="47"/>
      <c r="QGN34" s="47"/>
      <c r="QGO34" s="47"/>
      <c r="QGP34" s="47"/>
      <c r="QGQ34" s="47"/>
      <c r="QGR34" s="47"/>
      <c r="QGS34" s="47"/>
      <c r="QGT34" s="47"/>
      <c r="QGU34" s="47"/>
      <c r="QGV34" s="47"/>
      <c r="QGW34" s="47"/>
      <c r="QGX34" s="47"/>
      <c r="QGY34" s="47"/>
      <c r="QGZ34" s="47"/>
      <c r="QHA34" s="47"/>
      <c r="QHB34" s="47"/>
      <c r="QHC34" s="47"/>
      <c r="QHD34" s="47"/>
      <c r="QHE34" s="47"/>
      <c r="QHF34" s="47"/>
      <c r="QHG34" s="47"/>
      <c r="QHH34" s="47"/>
      <c r="QHI34" s="47"/>
      <c r="QHJ34" s="47"/>
      <c r="QHK34" s="47"/>
      <c r="QHL34" s="47"/>
      <c r="QHM34" s="47"/>
      <c r="QHN34" s="47"/>
      <c r="QHO34" s="47"/>
      <c r="QHP34" s="47"/>
      <c r="QHQ34" s="47"/>
      <c r="QHR34" s="47"/>
      <c r="QHS34" s="47"/>
      <c r="QHT34" s="47"/>
      <c r="QHU34" s="47"/>
      <c r="QHV34" s="47"/>
      <c r="QHW34" s="47"/>
      <c r="QHX34" s="47"/>
      <c r="QHY34" s="47"/>
      <c r="QHZ34" s="47"/>
      <c r="QIA34" s="47"/>
      <c r="QIB34" s="47"/>
      <c r="QIC34" s="47"/>
      <c r="QID34" s="47"/>
      <c r="QIE34" s="47"/>
      <c r="QIF34" s="47"/>
      <c r="QIG34" s="47"/>
      <c r="QIH34" s="47"/>
      <c r="QII34" s="47"/>
      <c r="QIJ34" s="47"/>
      <c r="QIK34" s="47"/>
      <c r="QIL34" s="47"/>
      <c r="QIM34" s="47"/>
      <c r="QIN34" s="47"/>
      <c r="QIO34" s="47"/>
      <c r="QIP34" s="47"/>
      <c r="QIQ34" s="47"/>
      <c r="QIR34" s="47"/>
      <c r="QIS34" s="47"/>
      <c r="QIT34" s="47"/>
      <c r="QIU34" s="47"/>
      <c r="QIV34" s="47"/>
      <c r="QIW34" s="47"/>
      <c r="QIX34" s="47"/>
      <c r="QIY34" s="47"/>
      <c r="QIZ34" s="47"/>
      <c r="QJA34" s="47"/>
      <c r="QJB34" s="47"/>
      <c r="QJC34" s="47"/>
      <c r="QJD34" s="47"/>
      <c r="QJE34" s="47"/>
      <c r="QJF34" s="47"/>
      <c r="QJG34" s="47"/>
      <c r="QJH34" s="47"/>
      <c r="QJI34" s="47"/>
      <c r="QJJ34" s="47"/>
      <c r="QJK34" s="47"/>
      <c r="QJL34" s="47"/>
      <c r="QJM34" s="47"/>
      <c r="QJN34" s="47"/>
      <c r="QJO34" s="47"/>
      <c r="QJP34" s="47"/>
      <c r="QJQ34" s="47"/>
      <c r="QJR34" s="47"/>
      <c r="QJS34" s="47"/>
      <c r="QJT34" s="47"/>
      <c r="QJU34" s="47"/>
      <c r="QJV34" s="47"/>
      <c r="QJW34" s="47"/>
      <c r="QJX34" s="47"/>
      <c r="QJY34" s="47"/>
      <c r="QJZ34" s="47"/>
      <c r="QKA34" s="47"/>
      <c r="QKB34" s="47"/>
      <c r="QKC34" s="47"/>
      <c r="QKD34" s="47"/>
      <c r="QKE34" s="47"/>
      <c r="QKF34" s="47"/>
      <c r="QKG34" s="47"/>
      <c r="QKH34" s="47"/>
      <c r="QKI34" s="47"/>
      <c r="QKJ34" s="47"/>
      <c r="QKK34" s="47"/>
      <c r="QKL34" s="47"/>
      <c r="QKM34" s="47"/>
      <c r="QKN34" s="47"/>
      <c r="QKO34" s="47"/>
      <c r="QKP34" s="47"/>
      <c r="QKQ34" s="47"/>
      <c r="QKR34" s="47"/>
      <c r="QKS34" s="47"/>
      <c r="QKT34" s="47"/>
      <c r="QKU34" s="47"/>
      <c r="QKV34" s="47"/>
      <c r="QKW34" s="47"/>
      <c r="QKX34" s="47"/>
      <c r="QKY34" s="47"/>
      <c r="QKZ34" s="47"/>
      <c r="QLA34" s="47"/>
      <c r="QLB34" s="47"/>
      <c r="QLC34" s="47"/>
      <c r="QLD34" s="47"/>
      <c r="QLE34" s="47"/>
      <c r="QLF34" s="47"/>
      <c r="QLG34" s="47"/>
      <c r="QLH34" s="47"/>
      <c r="QLI34" s="47"/>
      <c r="QLJ34" s="47"/>
      <c r="QLK34" s="47"/>
      <c r="QLL34" s="47"/>
      <c r="QLM34" s="47"/>
      <c r="QLN34" s="47"/>
      <c r="QLO34" s="47"/>
      <c r="QLP34" s="47"/>
      <c r="QLQ34" s="47"/>
      <c r="QLR34" s="47"/>
      <c r="QLS34" s="47"/>
      <c r="QLT34" s="47"/>
      <c r="QLU34" s="47"/>
      <c r="QLV34" s="47"/>
      <c r="QLW34" s="47"/>
      <c r="QLX34" s="47"/>
      <c r="QLY34" s="47"/>
      <c r="QLZ34" s="47"/>
      <c r="QMA34" s="47"/>
      <c r="QMB34" s="47"/>
      <c r="QMC34" s="47"/>
      <c r="QMD34" s="47"/>
      <c r="QME34" s="47"/>
      <c r="QMF34" s="47"/>
      <c r="QMG34" s="47"/>
      <c r="QMH34" s="47"/>
      <c r="QMI34" s="47"/>
      <c r="QMJ34" s="47"/>
      <c r="QMK34" s="47"/>
      <c r="QML34" s="47"/>
      <c r="QMM34" s="47"/>
      <c r="QMN34" s="47"/>
      <c r="QMO34" s="47"/>
      <c r="QMP34" s="47"/>
      <c r="QMQ34" s="47"/>
      <c r="QMR34" s="47"/>
      <c r="QMS34" s="47"/>
      <c r="QMT34" s="47"/>
      <c r="QMU34" s="47"/>
      <c r="QMV34" s="47"/>
      <c r="QMW34" s="47"/>
      <c r="QMX34" s="47"/>
      <c r="QMY34" s="47"/>
      <c r="QMZ34" s="47"/>
      <c r="QNA34" s="47"/>
      <c r="QNB34" s="47"/>
      <c r="QNC34" s="47"/>
      <c r="QND34" s="47"/>
      <c r="QNE34" s="47"/>
      <c r="QNF34" s="47"/>
      <c r="QNG34" s="47"/>
      <c r="QNH34" s="47"/>
      <c r="QNI34" s="47"/>
      <c r="QNJ34" s="47"/>
      <c r="QNK34" s="47"/>
      <c r="QNL34" s="47"/>
      <c r="QNM34" s="47"/>
      <c r="QNN34" s="47"/>
      <c r="QNO34" s="47"/>
      <c r="QNP34" s="47"/>
      <c r="QNQ34" s="47"/>
      <c r="QNR34" s="47"/>
      <c r="QNS34" s="47"/>
      <c r="QNT34" s="47"/>
      <c r="QNU34" s="47"/>
      <c r="QNV34" s="47"/>
      <c r="QNW34" s="47"/>
      <c r="QNX34" s="47"/>
      <c r="QNY34" s="47"/>
      <c r="QNZ34" s="47"/>
      <c r="QOA34" s="47"/>
      <c r="QOB34" s="47"/>
      <c r="QOC34" s="47"/>
      <c r="QOD34" s="47"/>
      <c r="QOE34" s="47"/>
      <c r="QOF34" s="47"/>
      <c r="QOG34" s="47"/>
      <c r="QOH34" s="47"/>
      <c r="QOI34" s="47"/>
      <c r="QOJ34" s="47"/>
      <c r="QOK34" s="47"/>
      <c r="QOL34" s="47"/>
      <c r="QOM34" s="47"/>
      <c r="QON34" s="47"/>
      <c r="QOO34" s="47"/>
      <c r="QOP34" s="47"/>
      <c r="QOQ34" s="47"/>
      <c r="QOR34" s="47"/>
      <c r="QOS34" s="47"/>
      <c r="QOT34" s="47"/>
      <c r="QOU34" s="47"/>
      <c r="QOV34" s="47"/>
      <c r="QOW34" s="47"/>
      <c r="QOX34" s="47"/>
      <c r="QOY34" s="47"/>
      <c r="QOZ34" s="47"/>
      <c r="QPA34" s="47"/>
      <c r="QPB34" s="47"/>
      <c r="QPC34" s="47"/>
      <c r="QPD34" s="47"/>
      <c r="QPE34" s="47"/>
      <c r="QPF34" s="47"/>
      <c r="QPG34" s="47"/>
      <c r="QPH34" s="47"/>
      <c r="QPI34" s="47"/>
      <c r="QPJ34" s="47"/>
      <c r="QPK34" s="47"/>
      <c r="QPL34" s="47"/>
      <c r="QPM34" s="47"/>
      <c r="QPN34" s="47"/>
      <c r="QPO34" s="47"/>
      <c r="QPP34" s="47"/>
      <c r="QPQ34" s="47"/>
      <c r="QPR34" s="47"/>
      <c r="QPS34" s="47"/>
      <c r="QPT34" s="47"/>
      <c r="QPU34" s="47"/>
      <c r="QPV34" s="47"/>
      <c r="QPW34" s="47"/>
      <c r="QPX34" s="47"/>
      <c r="QPY34" s="47"/>
      <c r="QPZ34" s="47"/>
      <c r="QQA34" s="47"/>
      <c r="QQB34" s="47"/>
      <c r="QQC34" s="47"/>
      <c r="QQD34" s="47"/>
      <c r="QQE34" s="47"/>
      <c r="QQF34" s="47"/>
      <c r="QQG34" s="47"/>
      <c r="QQH34" s="47"/>
      <c r="QQI34" s="47"/>
      <c r="QQJ34" s="47"/>
      <c r="QQK34" s="47"/>
      <c r="QQL34" s="47"/>
      <c r="QQM34" s="47"/>
      <c r="QQN34" s="47"/>
      <c r="QQO34" s="47"/>
      <c r="QQP34" s="47"/>
      <c r="QQQ34" s="47"/>
      <c r="QQR34" s="47"/>
      <c r="QQS34" s="47"/>
      <c r="QQT34" s="47"/>
      <c r="QQU34" s="47"/>
      <c r="QQV34" s="47"/>
      <c r="QQW34" s="47"/>
      <c r="QQX34" s="47"/>
      <c r="QQY34" s="47"/>
      <c r="QQZ34" s="47"/>
      <c r="QRA34" s="47"/>
      <c r="QRB34" s="47"/>
      <c r="QRC34" s="47"/>
      <c r="QRD34" s="47"/>
      <c r="QRE34" s="47"/>
      <c r="QRF34" s="47"/>
      <c r="QRG34" s="47"/>
      <c r="QRH34" s="47"/>
      <c r="QRI34" s="47"/>
      <c r="QRJ34" s="47"/>
      <c r="QRK34" s="47"/>
      <c r="QRL34" s="47"/>
      <c r="QRM34" s="47"/>
      <c r="QRN34" s="47"/>
      <c r="QRO34" s="47"/>
      <c r="QRP34" s="47"/>
      <c r="QRQ34" s="47"/>
      <c r="QRR34" s="47"/>
      <c r="QRS34" s="47"/>
      <c r="QRT34" s="47"/>
      <c r="QRU34" s="47"/>
      <c r="QRV34" s="47"/>
      <c r="QRW34" s="47"/>
      <c r="QRX34" s="47"/>
      <c r="QRY34" s="47"/>
      <c r="QRZ34" s="47"/>
      <c r="QSA34" s="47"/>
      <c r="QSB34" s="47"/>
      <c r="QSC34" s="47"/>
      <c r="QSD34" s="47"/>
      <c r="QSE34" s="47"/>
      <c r="QSF34" s="47"/>
      <c r="QSG34" s="47"/>
      <c r="QSH34" s="47"/>
      <c r="QSI34" s="47"/>
      <c r="QSJ34" s="47"/>
      <c r="QSK34" s="47"/>
      <c r="QSL34" s="47"/>
      <c r="QSM34" s="47"/>
      <c r="QSN34" s="47"/>
      <c r="QSO34" s="47"/>
      <c r="QSP34" s="47"/>
      <c r="QSQ34" s="47"/>
      <c r="QSR34" s="47"/>
      <c r="QSS34" s="47"/>
      <c r="QST34" s="47"/>
      <c r="QSU34" s="47"/>
      <c r="QSV34" s="47"/>
      <c r="QSW34" s="47"/>
      <c r="QSX34" s="47"/>
      <c r="QSY34" s="47"/>
      <c r="QSZ34" s="47"/>
      <c r="QTA34" s="47"/>
      <c r="QTB34" s="47"/>
      <c r="QTC34" s="47"/>
      <c r="QTD34" s="47"/>
      <c r="QTE34" s="47"/>
      <c r="QTF34" s="47"/>
      <c r="QTG34" s="47"/>
      <c r="QTH34" s="47"/>
      <c r="QTI34" s="47"/>
      <c r="QTJ34" s="47"/>
      <c r="QTK34" s="47"/>
      <c r="QTL34" s="47"/>
      <c r="QTM34" s="47"/>
      <c r="QTN34" s="47"/>
      <c r="QTO34" s="47"/>
      <c r="QTP34" s="47"/>
      <c r="QTQ34" s="47"/>
      <c r="QTR34" s="47"/>
      <c r="QTS34" s="47"/>
      <c r="QTT34" s="47"/>
      <c r="QTU34" s="47"/>
      <c r="QTV34" s="47"/>
      <c r="QTW34" s="47"/>
      <c r="QTX34" s="47"/>
      <c r="QTY34" s="47"/>
      <c r="QTZ34" s="47"/>
      <c r="QUA34" s="47"/>
      <c r="QUB34" s="47"/>
      <c r="QUC34" s="47"/>
      <c r="QUD34" s="47"/>
      <c r="QUE34" s="47"/>
      <c r="QUF34" s="47"/>
      <c r="QUG34" s="47"/>
      <c r="QUH34" s="47"/>
      <c r="QUI34" s="47"/>
      <c r="QUJ34" s="47"/>
      <c r="QUK34" s="47"/>
      <c r="QUL34" s="47"/>
      <c r="QUM34" s="47"/>
      <c r="QUN34" s="47"/>
      <c r="QUO34" s="47"/>
      <c r="QUP34" s="47"/>
      <c r="QUQ34" s="47"/>
      <c r="QUR34" s="47"/>
      <c r="QUS34" s="47"/>
      <c r="QUT34" s="47"/>
      <c r="QUU34" s="47"/>
      <c r="QUV34" s="47"/>
      <c r="QUW34" s="47"/>
      <c r="QUX34" s="47"/>
      <c r="QUY34" s="47"/>
      <c r="QUZ34" s="47"/>
      <c r="QVA34" s="47"/>
      <c r="QVB34" s="47"/>
      <c r="QVC34" s="47"/>
      <c r="QVD34" s="47"/>
      <c r="QVE34" s="47"/>
      <c r="QVF34" s="47"/>
      <c r="QVG34" s="47"/>
      <c r="QVH34" s="47"/>
      <c r="QVI34" s="47"/>
      <c r="QVJ34" s="47"/>
      <c r="QVK34" s="47"/>
      <c r="QVL34" s="47"/>
      <c r="QVM34" s="47"/>
      <c r="QVN34" s="47"/>
      <c r="QVO34" s="47"/>
      <c r="QVP34" s="47"/>
      <c r="QVQ34" s="47"/>
      <c r="QVR34" s="47"/>
      <c r="QVS34" s="47"/>
      <c r="QVT34" s="47"/>
      <c r="QVU34" s="47"/>
      <c r="QVV34" s="47"/>
      <c r="QVW34" s="47"/>
      <c r="QVX34" s="47"/>
      <c r="QVY34" s="47"/>
      <c r="QVZ34" s="47"/>
      <c r="QWA34" s="47"/>
      <c r="QWB34" s="47"/>
      <c r="QWC34" s="47"/>
      <c r="QWD34" s="47"/>
      <c r="QWE34" s="47"/>
      <c r="QWF34" s="47"/>
      <c r="QWG34" s="47"/>
      <c r="QWH34" s="47"/>
      <c r="QWI34" s="47"/>
      <c r="QWJ34" s="47"/>
      <c r="QWK34" s="47"/>
      <c r="QWL34" s="47"/>
      <c r="QWM34" s="47"/>
      <c r="QWN34" s="47"/>
      <c r="QWO34" s="47"/>
      <c r="QWP34" s="47"/>
      <c r="QWQ34" s="47"/>
      <c r="QWR34" s="47"/>
      <c r="QWS34" s="47"/>
      <c r="QWT34" s="47"/>
      <c r="QWU34" s="47"/>
      <c r="QWV34" s="47"/>
      <c r="QWW34" s="47"/>
      <c r="QWX34" s="47"/>
      <c r="QWY34" s="47"/>
      <c r="QWZ34" s="47"/>
      <c r="QXA34" s="47"/>
      <c r="QXB34" s="47"/>
      <c r="QXC34" s="47"/>
      <c r="QXD34" s="47"/>
      <c r="QXE34" s="47"/>
      <c r="QXF34" s="47"/>
      <c r="QXG34" s="47"/>
      <c r="QXH34" s="47"/>
      <c r="QXI34" s="47"/>
      <c r="QXJ34" s="47"/>
      <c r="QXK34" s="47"/>
      <c r="QXL34" s="47"/>
      <c r="QXM34" s="47"/>
      <c r="QXN34" s="47"/>
      <c r="QXO34" s="47"/>
      <c r="QXP34" s="47"/>
      <c r="QXQ34" s="47"/>
      <c r="QXR34" s="47"/>
      <c r="QXS34" s="47"/>
      <c r="QXT34" s="47"/>
      <c r="QXU34" s="47"/>
      <c r="QXV34" s="47"/>
      <c r="QXW34" s="47"/>
      <c r="QXX34" s="47"/>
      <c r="QXY34" s="47"/>
      <c r="QXZ34" s="47"/>
      <c r="QYA34" s="47"/>
      <c r="QYB34" s="47"/>
      <c r="QYC34" s="47"/>
      <c r="QYD34" s="47"/>
      <c r="QYE34" s="47"/>
      <c r="QYF34" s="47"/>
      <c r="QYG34" s="47"/>
      <c r="QYH34" s="47"/>
      <c r="QYI34" s="47"/>
      <c r="QYJ34" s="47"/>
      <c r="QYK34" s="47"/>
      <c r="QYL34" s="47"/>
      <c r="QYM34" s="47"/>
      <c r="QYN34" s="47"/>
      <c r="QYO34" s="47"/>
      <c r="QYP34" s="47"/>
      <c r="QYQ34" s="47"/>
      <c r="QYR34" s="47"/>
      <c r="QYS34" s="47"/>
      <c r="QYT34" s="47"/>
      <c r="QYU34" s="47"/>
      <c r="QYV34" s="47"/>
      <c r="QYW34" s="47"/>
      <c r="QYX34" s="47"/>
      <c r="QYY34" s="47"/>
      <c r="QYZ34" s="47"/>
      <c r="QZA34" s="47"/>
      <c r="QZB34" s="47"/>
      <c r="QZC34" s="47"/>
      <c r="QZD34" s="47"/>
      <c r="QZE34" s="47"/>
      <c r="QZF34" s="47"/>
      <c r="QZG34" s="47"/>
      <c r="QZH34" s="47"/>
      <c r="QZI34" s="47"/>
      <c r="QZJ34" s="47"/>
      <c r="QZK34" s="47"/>
      <c r="QZL34" s="47"/>
      <c r="QZM34" s="47"/>
      <c r="QZN34" s="47"/>
      <c r="QZO34" s="47"/>
      <c r="QZP34" s="47"/>
      <c r="QZQ34" s="47"/>
      <c r="QZR34" s="47"/>
      <c r="QZS34" s="47"/>
      <c r="QZT34" s="47"/>
      <c r="QZU34" s="47"/>
      <c r="QZV34" s="47"/>
      <c r="QZW34" s="47"/>
      <c r="QZX34" s="47"/>
      <c r="QZY34" s="47"/>
      <c r="QZZ34" s="47"/>
      <c r="RAA34" s="47"/>
      <c r="RAB34" s="47"/>
      <c r="RAC34" s="47"/>
      <c r="RAD34" s="47"/>
      <c r="RAE34" s="47"/>
      <c r="RAF34" s="47"/>
      <c r="RAG34" s="47"/>
      <c r="RAH34" s="47"/>
      <c r="RAI34" s="47"/>
      <c r="RAJ34" s="47"/>
      <c r="RAK34" s="47"/>
      <c r="RAL34" s="47"/>
      <c r="RAM34" s="47"/>
      <c r="RAN34" s="47"/>
      <c r="RAO34" s="47"/>
      <c r="RAP34" s="47"/>
      <c r="RAQ34" s="47"/>
      <c r="RAR34" s="47"/>
      <c r="RAS34" s="47"/>
      <c r="RAT34" s="47"/>
      <c r="RAU34" s="47"/>
      <c r="RAV34" s="47"/>
      <c r="RAW34" s="47"/>
      <c r="RAX34" s="47"/>
      <c r="RAY34" s="47"/>
      <c r="RAZ34" s="47"/>
      <c r="RBA34" s="47"/>
      <c r="RBB34" s="47"/>
      <c r="RBC34" s="47"/>
      <c r="RBD34" s="47"/>
      <c r="RBE34" s="47"/>
      <c r="RBF34" s="47"/>
      <c r="RBG34" s="47"/>
      <c r="RBH34" s="47"/>
      <c r="RBI34" s="47"/>
      <c r="RBJ34" s="47"/>
      <c r="RBK34" s="47"/>
      <c r="RBL34" s="47"/>
      <c r="RBM34" s="47"/>
      <c r="RBN34" s="47"/>
      <c r="RBO34" s="47"/>
      <c r="RBP34" s="47"/>
      <c r="RBQ34" s="47"/>
      <c r="RBR34" s="47"/>
      <c r="RBS34" s="47"/>
      <c r="RBT34" s="47"/>
      <c r="RBU34" s="47"/>
      <c r="RBV34" s="47"/>
      <c r="RBW34" s="47"/>
      <c r="RBX34" s="47"/>
      <c r="RBY34" s="47"/>
      <c r="RBZ34" s="47"/>
      <c r="RCA34" s="47"/>
      <c r="RCB34" s="47"/>
      <c r="RCC34" s="47"/>
      <c r="RCD34" s="47"/>
      <c r="RCE34" s="47"/>
      <c r="RCF34" s="47"/>
      <c r="RCG34" s="47"/>
      <c r="RCH34" s="47"/>
      <c r="RCI34" s="47"/>
      <c r="RCJ34" s="47"/>
      <c r="RCK34" s="47"/>
      <c r="RCL34" s="47"/>
      <c r="RCM34" s="47"/>
      <c r="RCN34" s="47"/>
      <c r="RCO34" s="47"/>
      <c r="RCP34" s="47"/>
      <c r="RCQ34" s="47"/>
      <c r="RCR34" s="47"/>
      <c r="RCS34" s="47"/>
      <c r="RCT34" s="47"/>
      <c r="RCU34" s="47"/>
      <c r="RCV34" s="47"/>
      <c r="RCW34" s="47"/>
      <c r="RCX34" s="47"/>
      <c r="RCY34" s="47"/>
      <c r="RCZ34" s="47"/>
      <c r="RDA34" s="47"/>
      <c r="RDB34" s="47"/>
      <c r="RDC34" s="47"/>
      <c r="RDD34" s="47"/>
      <c r="RDE34" s="47"/>
      <c r="RDF34" s="47"/>
      <c r="RDG34" s="47"/>
      <c r="RDH34" s="47"/>
      <c r="RDI34" s="47"/>
      <c r="RDJ34" s="47"/>
      <c r="RDK34" s="47"/>
      <c r="RDL34" s="47"/>
      <c r="RDM34" s="47"/>
      <c r="RDN34" s="47"/>
      <c r="RDO34" s="47"/>
      <c r="RDP34" s="47"/>
      <c r="RDQ34" s="47"/>
      <c r="RDR34" s="47"/>
      <c r="RDS34" s="47"/>
      <c r="RDT34" s="47"/>
      <c r="RDU34" s="47"/>
      <c r="RDV34" s="47"/>
      <c r="RDW34" s="47"/>
      <c r="RDX34" s="47"/>
      <c r="RDY34" s="47"/>
      <c r="RDZ34" s="47"/>
      <c r="REA34" s="47"/>
      <c r="REB34" s="47"/>
      <c r="REC34" s="47"/>
      <c r="RED34" s="47"/>
      <c r="REE34" s="47"/>
      <c r="REF34" s="47"/>
      <c r="REG34" s="47"/>
      <c r="REH34" s="47"/>
      <c r="REI34" s="47"/>
      <c r="REJ34" s="47"/>
      <c r="REK34" s="47"/>
      <c r="REL34" s="47"/>
      <c r="REM34" s="47"/>
      <c r="REN34" s="47"/>
      <c r="REO34" s="47"/>
      <c r="REP34" s="47"/>
      <c r="REQ34" s="47"/>
      <c r="RER34" s="47"/>
      <c r="RES34" s="47"/>
      <c r="RET34" s="47"/>
      <c r="REU34" s="47"/>
      <c r="REV34" s="47"/>
      <c r="REW34" s="47"/>
      <c r="REX34" s="47"/>
      <c r="REY34" s="47"/>
      <c r="REZ34" s="47"/>
      <c r="RFA34" s="47"/>
      <c r="RFB34" s="47"/>
      <c r="RFC34" s="47"/>
      <c r="RFD34" s="47"/>
      <c r="RFE34" s="47"/>
      <c r="RFF34" s="47"/>
      <c r="RFG34" s="47"/>
      <c r="RFH34" s="47"/>
      <c r="RFI34" s="47"/>
      <c r="RFJ34" s="47"/>
      <c r="RFK34" s="47"/>
      <c r="RFL34" s="47"/>
      <c r="RFM34" s="47"/>
      <c r="RFN34" s="47"/>
      <c r="RFO34" s="47"/>
      <c r="RFP34" s="47"/>
      <c r="RFQ34" s="47"/>
      <c r="RFR34" s="47"/>
      <c r="RFS34" s="47"/>
      <c r="RFT34" s="47"/>
      <c r="RFU34" s="47"/>
      <c r="RFV34" s="47"/>
      <c r="RFW34" s="47"/>
      <c r="RFX34" s="47"/>
      <c r="RFY34" s="47"/>
      <c r="RFZ34" s="47"/>
      <c r="RGA34" s="47"/>
      <c r="RGB34" s="47"/>
      <c r="RGC34" s="47"/>
      <c r="RGD34" s="47"/>
      <c r="RGE34" s="47"/>
      <c r="RGF34" s="47"/>
      <c r="RGG34" s="47"/>
      <c r="RGH34" s="47"/>
      <c r="RGI34" s="47"/>
      <c r="RGJ34" s="47"/>
      <c r="RGK34" s="47"/>
      <c r="RGL34" s="47"/>
      <c r="RGM34" s="47"/>
      <c r="RGN34" s="47"/>
      <c r="RGO34" s="47"/>
      <c r="RGP34" s="47"/>
      <c r="RGQ34" s="47"/>
      <c r="RGR34" s="47"/>
      <c r="RGS34" s="47"/>
      <c r="RGT34" s="47"/>
      <c r="RGU34" s="47"/>
      <c r="RGV34" s="47"/>
      <c r="RGW34" s="47"/>
      <c r="RGX34" s="47"/>
      <c r="RGY34" s="47"/>
      <c r="RGZ34" s="47"/>
      <c r="RHA34" s="47"/>
      <c r="RHB34" s="47"/>
      <c r="RHC34" s="47"/>
      <c r="RHD34" s="47"/>
      <c r="RHE34" s="47"/>
      <c r="RHF34" s="47"/>
      <c r="RHG34" s="47"/>
      <c r="RHH34" s="47"/>
      <c r="RHI34" s="47"/>
      <c r="RHJ34" s="47"/>
      <c r="RHK34" s="47"/>
      <c r="RHL34" s="47"/>
      <c r="RHM34" s="47"/>
      <c r="RHN34" s="47"/>
      <c r="RHO34" s="47"/>
      <c r="RHP34" s="47"/>
      <c r="RHQ34" s="47"/>
      <c r="RHR34" s="47"/>
      <c r="RHS34" s="47"/>
      <c r="RHT34" s="47"/>
      <c r="RHU34" s="47"/>
      <c r="RHV34" s="47"/>
      <c r="RHW34" s="47"/>
      <c r="RHX34" s="47"/>
      <c r="RHY34" s="47"/>
      <c r="RHZ34" s="47"/>
      <c r="RIA34" s="47"/>
      <c r="RIB34" s="47"/>
      <c r="RIC34" s="47"/>
      <c r="RID34" s="47"/>
      <c r="RIE34" s="47"/>
      <c r="RIF34" s="47"/>
      <c r="RIG34" s="47"/>
      <c r="RIH34" s="47"/>
      <c r="RII34" s="47"/>
      <c r="RIJ34" s="47"/>
      <c r="RIK34" s="47"/>
      <c r="RIL34" s="47"/>
      <c r="RIM34" s="47"/>
      <c r="RIN34" s="47"/>
      <c r="RIO34" s="47"/>
      <c r="RIP34" s="47"/>
      <c r="RIQ34" s="47"/>
      <c r="RIR34" s="47"/>
      <c r="RIS34" s="47"/>
      <c r="RIT34" s="47"/>
      <c r="RIU34" s="47"/>
      <c r="RIV34" s="47"/>
      <c r="RIW34" s="47"/>
      <c r="RIX34" s="47"/>
      <c r="RIY34" s="47"/>
      <c r="RIZ34" s="47"/>
      <c r="RJA34" s="47"/>
      <c r="RJB34" s="47"/>
      <c r="RJC34" s="47"/>
      <c r="RJD34" s="47"/>
      <c r="RJE34" s="47"/>
      <c r="RJF34" s="47"/>
      <c r="RJG34" s="47"/>
      <c r="RJH34" s="47"/>
      <c r="RJI34" s="47"/>
      <c r="RJJ34" s="47"/>
      <c r="RJK34" s="47"/>
      <c r="RJL34" s="47"/>
      <c r="RJM34" s="47"/>
      <c r="RJN34" s="47"/>
      <c r="RJO34" s="47"/>
      <c r="RJP34" s="47"/>
      <c r="RJQ34" s="47"/>
      <c r="RJR34" s="47"/>
      <c r="RJS34" s="47"/>
      <c r="RJT34" s="47"/>
      <c r="RJU34" s="47"/>
      <c r="RJV34" s="47"/>
      <c r="RJW34" s="47"/>
      <c r="RJX34" s="47"/>
      <c r="RJY34" s="47"/>
      <c r="RJZ34" s="47"/>
      <c r="RKA34" s="47"/>
      <c r="RKB34" s="47"/>
      <c r="RKC34" s="47"/>
      <c r="RKD34" s="47"/>
      <c r="RKE34" s="47"/>
      <c r="RKF34" s="47"/>
      <c r="RKG34" s="47"/>
      <c r="RKH34" s="47"/>
      <c r="RKI34" s="47"/>
      <c r="RKJ34" s="47"/>
      <c r="RKK34" s="47"/>
      <c r="RKL34" s="47"/>
      <c r="RKM34" s="47"/>
      <c r="RKN34" s="47"/>
      <c r="RKO34" s="47"/>
      <c r="RKP34" s="47"/>
      <c r="RKQ34" s="47"/>
      <c r="RKR34" s="47"/>
      <c r="RKS34" s="47"/>
      <c r="RKT34" s="47"/>
      <c r="RKU34" s="47"/>
      <c r="RKV34" s="47"/>
      <c r="RKW34" s="47"/>
      <c r="RKX34" s="47"/>
      <c r="RKY34" s="47"/>
      <c r="RKZ34" s="47"/>
      <c r="RLA34" s="47"/>
      <c r="RLB34" s="47"/>
      <c r="RLC34" s="47"/>
      <c r="RLD34" s="47"/>
      <c r="RLE34" s="47"/>
      <c r="RLF34" s="47"/>
      <c r="RLG34" s="47"/>
      <c r="RLH34" s="47"/>
      <c r="RLI34" s="47"/>
      <c r="RLJ34" s="47"/>
      <c r="RLK34" s="47"/>
      <c r="RLL34" s="47"/>
      <c r="RLM34" s="47"/>
      <c r="RLN34" s="47"/>
      <c r="RLO34" s="47"/>
      <c r="RLP34" s="47"/>
      <c r="RLQ34" s="47"/>
      <c r="RLR34" s="47"/>
      <c r="RLS34" s="47"/>
      <c r="RLT34" s="47"/>
      <c r="RLU34" s="47"/>
      <c r="RLV34" s="47"/>
      <c r="RLW34" s="47"/>
      <c r="RLX34" s="47"/>
      <c r="RLY34" s="47"/>
      <c r="RLZ34" s="47"/>
      <c r="RMA34" s="47"/>
      <c r="RMB34" s="47"/>
      <c r="RMC34" s="47"/>
      <c r="RMD34" s="47"/>
      <c r="RME34" s="47"/>
      <c r="RMF34" s="47"/>
      <c r="RMG34" s="47"/>
      <c r="RMH34" s="47"/>
      <c r="RMI34" s="47"/>
      <c r="RMJ34" s="47"/>
      <c r="RMK34" s="47"/>
      <c r="RML34" s="47"/>
      <c r="RMM34" s="47"/>
      <c r="RMN34" s="47"/>
      <c r="RMO34" s="47"/>
      <c r="RMP34" s="47"/>
      <c r="RMQ34" s="47"/>
      <c r="RMR34" s="47"/>
      <c r="RMS34" s="47"/>
      <c r="RMT34" s="47"/>
      <c r="RMU34" s="47"/>
      <c r="RMV34" s="47"/>
      <c r="RMW34" s="47"/>
      <c r="RMX34" s="47"/>
      <c r="RMY34" s="47"/>
      <c r="RMZ34" s="47"/>
      <c r="RNA34" s="47"/>
      <c r="RNB34" s="47"/>
      <c r="RNC34" s="47"/>
      <c r="RND34" s="47"/>
      <c r="RNE34" s="47"/>
      <c r="RNF34" s="47"/>
      <c r="RNG34" s="47"/>
      <c r="RNH34" s="47"/>
      <c r="RNI34" s="47"/>
      <c r="RNJ34" s="47"/>
      <c r="RNK34" s="47"/>
      <c r="RNL34" s="47"/>
      <c r="RNM34" s="47"/>
      <c r="RNN34" s="47"/>
      <c r="RNO34" s="47"/>
      <c r="RNP34" s="47"/>
      <c r="RNQ34" s="47"/>
      <c r="RNR34" s="47"/>
      <c r="RNS34" s="47"/>
      <c r="RNT34" s="47"/>
      <c r="RNU34" s="47"/>
      <c r="RNV34" s="47"/>
      <c r="RNW34" s="47"/>
      <c r="RNX34" s="47"/>
      <c r="RNY34" s="47"/>
      <c r="RNZ34" s="47"/>
      <c r="ROA34" s="47"/>
      <c r="ROB34" s="47"/>
      <c r="ROC34" s="47"/>
      <c r="ROD34" s="47"/>
      <c r="ROE34" s="47"/>
      <c r="ROF34" s="47"/>
      <c r="ROG34" s="47"/>
      <c r="ROH34" s="47"/>
      <c r="ROI34" s="47"/>
      <c r="ROJ34" s="47"/>
      <c r="ROK34" s="47"/>
      <c r="ROL34" s="47"/>
      <c r="ROM34" s="47"/>
      <c r="RON34" s="47"/>
      <c r="ROO34" s="47"/>
      <c r="ROP34" s="47"/>
      <c r="ROQ34" s="47"/>
      <c r="ROR34" s="47"/>
      <c r="ROS34" s="47"/>
      <c r="ROT34" s="47"/>
      <c r="ROU34" s="47"/>
      <c r="ROV34" s="47"/>
      <c r="ROW34" s="47"/>
      <c r="ROX34" s="47"/>
      <c r="ROY34" s="47"/>
      <c r="ROZ34" s="47"/>
      <c r="RPA34" s="47"/>
      <c r="RPB34" s="47"/>
      <c r="RPC34" s="47"/>
      <c r="RPD34" s="47"/>
      <c r="RPE34" s="47"/>
      <c r="RPF34" s="47"/>
      <c r="RPG34" s="47"/>
      <c r="RPH34" s="47"/>
      <c r="RPI34" s="47"/>
      <c r="RPJ34" s="47"/>
      <c r="RPK34" s="47"/>
      <c r="RPL34" s="47"/>
      <c r="RPM34" s="47"/>
      <c r="RPN34" s="47"/>
      <c r="RPO34" s="47"/>
      <c r="RPP34" s="47"/>
      <c r="RPQ34" s="47"/>
      <c r="RPR34" s="47"/>
      <c r="RPS34" s="47"/>
      <c r="RPT34" s="47"/>
      <c r="RPU34" s="47"/>
      <c r="RPV34" s="47"/>
      <c r="RPW34" s="47"/>
      <c r="RPX34" s="47"/>
      <c r="RPY34" s="47"/>
      <c r="RPZ34" s="47"/>
      <c r="RQA34" s="47"/>
      <c r="RQB34" s="47"/>
      <c r="RQC34" s="47"/>
      <c r="RQD34" s="47"/>
      <c r="RQE34" s="47"/>
      <c r="RQF34" s="47"/>
      <c r="RQG34" s="47"/>
      <c r="RQH34" s="47"/>
      <c r="RQI34" s="47"/>
      <c r="RQJ34" s="47"/>
      <c r="RQK34" s="47"/>
      <c r="RQL34" s="47"/>
      <c r="RQM34" s="47"/>
      <c r="RQN34" s="47"/>
      <c r="RQO34" s="47"/>
      <c r="RQP34" s="47"/>
      <c r="RQQ34" s="47"/>
      <c r="RQR34" s="47"/>
      <c r="RQS34" s="47"/>
      <c r="RQT34" s="47"/>
      <c r="RQU34" s="47"/>
      <c r="RQV34" s="47"/>
      <c r="RQW34" s="47"/>
      <c r="RQX34" s="47"/>
      <c r="RQY34" s="47"/>
      <c r="RQZ34" s="47"/>
      <c r="RRA34" s="47"/>
      <c r="RRB34" s="47"/>
      <c r="RRC34" s="47"/>
      <c r="RRD34" s="47"/>
      <c r="RRE34" s="47"/>
      <c r="RRF34" s="47"/>
      <c r="RRG34" s="47"/>
      <c r="RRH34" s="47"/>
      <c r="RRI34" s="47"/>
      <c r="RRJ34" s="47"/>
      <c r="RRK34" s="47"/>
      <c r="RRL34" s="47"/>
      <c r="RRM34" s="47"/>
      <c r="RRN34" s="47"/>
      <c r="RRO34" s="47"/>
      <c r="RRP34" s="47"/>
      <c r="RRQ34" s="47"/>
      <c r="RRR34" s="47"/>
      <c r="RRS34" s="47"/>
      <c r="RRT34" s="47"/>
      <c r="RRU34" s="47"/>
      <c r="RRV34" s="47"/>
      <c r="RRW34" s="47"/>
      <c r="RRX34" s="47"/>
      <c r="RRY34" s="47"/>
      <c r="RRZ34" s="47"/>
      <c r="RSA34" s="47"/>
      <c r="RSB34" s="47"/>
      <c r="RSC34" s="47"/>
      <c r="RSD34" s="47"/>
      <c r="RSE34" s="47"/>
      <c r="RSF34" s="47"/>
      <c r="RSG34" s="47"/>
      <c r="RSH34" s="47"/>
      <c r="RSI34" s="47"/>
      <c r="RSJ34" s="47"/>
      <c r="RSK34" s="47"/>
      <c r="RSL34" s="47"/>
      <c r="RSM34" s="47"/>
      <c r="RSN34" s="47"/>
      <c r="RSO34" s="47"/>
      <c r="RSP34" s="47"/>
      <c r="RSQ34" s="47"/>
      <c r="RSR34" s="47"/>
      <c r="RSS34" s="47"/>
      <c r="RST34" s="47"/>
      <c r="RSU34" s="47"/>
      <c r="RSV34" s="47"/>
      <c r="RSW34" s="47"/>
      <c r="RSX34" s="47"/>
      <c r="RSY34" s="47"/>
      <c r="RSZ34" s="47"/>
      <c r="RTA34" s="47"/>
      <c r="RTB34" s="47"/>
      <c r="RTC34" s="47"/>
      <c r="RTD34" s="47"/>
      <c r="RTE34" s="47"/>
      <c r="RTF34" s="47"/>
      <c r="RTG34" s="47"/>
      <c r="RTH34" s="47"/>
      <c r="RTI34" s="47"/>
      <c r="RTJ34" s="47"/>
      <c r="RTK34" s="47"/>
      <c r="RTL34" s="47"/>
      <c r="RTM34" s="47"/>
      <c r="RTN34" s="47"/>
      <c r="RTO34" s="47"/>
      <c r="RTP34" s="47"/>
      <c r="RTQ34" s="47"/>
      <c r="RTR34" s="47"/>
      <c r="RTS34" s="47"/>
      <c r="RTT34" s="47"/>
      <c r="RTU34" s="47"/>
      <c r="RTV34" s="47"/>
      <c r="RTW34" s="47"/>
      <c r="RTX34" s="47"/>
      <c r="RTY34" s="47"/>
      <c r="RTZ34" s="47"/>
      <c r="RUA34" s="47"/>
      <c r="RUB34" s="47"/>
      <c r="RUC34" s="47"/>
      <c r="RUD34" s="47"/>
      <c r="RUE34" s="47"/>
      <c r="RUF34" s="47"/>
      <c r="RUG34" s="47"/>
      <c r="RUH34" s="47"/>
      <c r="RUI34" s="47"/>
      <c r="RUJ34" s="47"/>
      <c r="RUK34" s="47"/>
      <c r="RUL34" s="47"/>
      <c r="RUM34" s="47"/>
      <c r="RUN34" s="47"/>
      <c r="RUO34" s="47"/>
      <c r="RUP34" s="47"/>
      <c r="RUQ34" s="47"/>
      <c r="RUR34" s="47"/>
      <c r="RUS34" s="47"/>
      <c r="RUT34" s="47"/>
      <c r="RUU34" s="47"/>
      <c r="RUV34" s="47"/>
      <c r="RUW34" s="47"/>
      <c r="RUX34" s="47"/>
      <c r="RUY34" s="47"/>
      <c r="RUZ34" s="47"/>
      <c r="RVA34" s="47"/>
      <c r="RVB34" s="47"/>
      <c r="RVC34" s="47"/>
      <c r="RVD34" s="47"/>
      <c r="RVE34" s="47"/>
      <c r="RVF34" s="47"/>
      <c r="RVG34" s="47"/>
      <c r="RVH34" s="47"/>
      <c r="RVI34" s="47"/>
      <c r="RVJ34" s="47"/>
      <c r="RVK34" s="47"/>
      <c r="RVL34" s="47"/>
      <c r="RVM34" s="47"/>
      <c r="RVN34" s="47"/>
      <c r="RVO34" s="47"/>
      <c r="RVP34" s="47"/>
      <c r="RVQ34" s="47"/>
      <c r="RVR34" s="47"/>
      <c r="RVS34" s="47"/>
      <c r="RVT34" s="47"/>
      <c r="RVU34" s="47"/>
      <c r="RVV34" s="47"/>
      <c r="RVW34" s="47"/>
      <c r="RVX34" s="47"/>
      <c r="RVY34" s="47"/>
      <c r="RVZ34" s="47"/>
      <c r="RWA34" s="47"/>
      <c r="RWB34" s="47"/>
      <c r="RWC34" s="47"/>
      <c r="RWD34" s="47"/>
      <c r="RWE34" s="47"/>
      <c r="RWF34" s="47"/>
      <c r="RWG34" s="47"/>
      <c r="RWH34" s="47"/>
      <c r="RWI34" s="47"/>
      <c r="RWJ34" s="47"/>
      <c r="RWK34" s="47"/>
      <c r="RWL34" s="47"/>
      <c r="RWM34" s="47"/>
      <c r="RWN34" s="47"/>
      <c r="RWO34" s="47"/>
      <c r="RWP34" s="47"/>
      <c r="RWQ34" s="47"/>
      <c r="RWR34" s="47"/>
      <c r="RWS34" s="47"/>
      <c r="RWT34" s="47"/>
      <c r="RWU34" s="47"/>
      <c r="RWV34" s="47"/>
      <c r="RWW34" s="47"/>
      <c r="RWX34" s="47"/>
      <c r="RWY34" s="47"/>
      <c r="RWZ34" s="47"/>
      <c r="RXA34" s="47"/>
      <c r="RXB34" s="47"/>
      <c r="RXC34" s="47"/>
      <c r="RXD34" s="47"/>
      <c r="RXE34" s="47"/>
      <c r="RXF34" s="47"/>
      <c r="RXG34" s="47"/>
      <c r="RXH34" s="47"/>
      <c r="RXI34" s="47"/>
      <c r="RXJ34" s="47"/>
      <c r="RXK34" s="47"/>
      <c r="RXL34" s="47"/>
      <c r="RXM34" s="47"/>
      <c r="RXN34" s="47"/>
      <c r="RXO34" s="47"/>
      <c r="RXP34" s="47"/>
      <c r="RXQ34" s="47"/>
      <c r="RXR34" s="47"/>
      <c r="RXS34" s="47"/>
      <c r="RXT34" s="47"/>
      <c r="RXU34" s="47"/>
      <c r="RXV34" s="47"/>
      <c r="RXW34" s="47"/>
      <c r="RXX34" s="47"/>
      <c r="RXY34" s="47"/>
      <c r="RXZ34" s="47"/>
      <c r="RYA34" s="47"/>
      <c r="RYB34" s="47"/>
      <c r="RYC34" s="47"/>
      <c r="RYD34" s="47"/>
      <c r="RYE34" s="47"/>
      <c r="RYF34" s="47"/>
      <c r="RYG34" s="47"/>
      <c r="RYH34" s="47"/>
      <c r="RYI34" s="47"/>
      <c r="RYJ34" s="47"/>
      <c r="RYK34" s="47"/>
      <c r="RYL34" s="47"/>
      <c r="RYM34" s="47"/>
      <c r="RYN34" s="47"/>
      <c r="RYO34" s="47"/>
      <c r="RYP34" s="47"/>
      <c r="RYQ34" s="47"/>
      <c r="RYR34" s="47"/>
      <c r="RYS34" s="47"/>
      <c r="RYT34" s="47"/>
      <c r="RYU34" s="47"/>
      <c r="RYV34" s="47"/>
      <c r="RYW34" s="47"/>
      <c r="RYX34" s="47"/>
      <c r="RYY34" s="47"/>
      <c r="RYZ34" s="47"/>
      <c r="RZA34" s="47"/>
      <c r="RZB34" s="47"/>
      <c r="RZC34" s="47"/>
      <c r="RZD34" s="47"/>
      <c r="RZE34" s="47"/>
      <c r="RZF34" s="47"/>
      <c r="RZG34" s="47"/>
      <c r="RZH34" s="47"/>
      <c r="RZI34" s="47"/>
      <c r="RZJ34" s="47"/>
      <c r="RZK34" s="47"/>
      <c r="RZL34" s="47"/>
      <c r="RZM34" s="47"/>
      <c r="RZN34" s="47"/>
      <c r="RZO34" s="47"/>
      <c r="RZP34" s="47"/>
      <c r="RZQ34" s="47"/>
      <c r="RZR34" s="47"/>
      <c r="RZS34" s="47"/>
      <c r="RZT34" s="47"/>
      <c r="RZU34" s="47"/>
      <c r="RZV34" s="47"/>
      <c r="RZW34" s="47"/>
      <c r="RZX34" s="47"/>
      <c r="RZY34" s="47"/>
      <c r="RZZ34" s="47"/>
      <c r="SAA34" s="47"/>
      <c r="SAB34" s="47"/>
      <c r="SAC34" s="47"/>
      <c r="SAD34" s="47"/>
      <c r="SAE34" s="47"/>
      <c r="SAF34" s="47"/>
      <c r="SAG34" s="47"/>
      <c r="SAH34" s="47"/>
      <c r="SAI34" s="47"/>
      <c r="SAJ34" s="47"/>
      <c r="SAK34" s="47"/>
      <c r="SAL34" s="47"/>
      <c r="SAM34" s="47"/>
      <c r="SAN34" s="47"/>
      <c r="SAO34" s="47"/>
      <c r="SAP34" s="47"/>
      <c r="SAQ34" s="47"/>
      <c r="SAR34" s="47"/>
      <c r="SAS34" s="47"/>
      <c r="SAT34" s="47"/>
      <c r="SAU34" s="47"/>
      <c r="SAV34" s="47"/>
      <c r="SAW34" s="47"/>
      <c r="SAX34" s="47"/>
      <c r="SAY34" s="47"/>
      <c r="SAZ34" s="47"/>
      <c r="SBA34" s="47"/>
      <c r="SBB34" s="47"/>
      <c r="SBC34" s="47"/>
      <c r="SBD34" s="47"/>
      <c r="SBE34" s="47"/>
      <c r="SBF34" s="47"/>
      <c r="SBG34" s="47"/>
      <c r="SBH34" s="47"/>
      <c r="SBI34" s="47"/>
      <c r="SBJ34" s="47"/>
      <c r="SBK34" s="47"/>
      <c r="SBL34" s="47"/>
      <c r="SBM34" s="47"/>
      <c r="SBN34" s="47"/>
      <c r="SBO34" s="47"/>
      <c r="SBP34" s="47"/>
      <c r="SBQ34" s="47"/>
      <c r="SBR34" s="47"/>
      <c r="SBS34" s="47"/>
      <c r="SBT34" s="47"/>
      <c r="SBU34" s="47"/>
      <c r="SBV34" s="47"/>
      <c r="SBW34" s="47"/>
      <c r="SBX34" s="47"/>
      <c r="SBY34" s="47"/>
      <c r="SBZ34" s="47"/>
      <c r="SCA34" s="47"/>
      <c r="SCB34" s="47"/>
      <c r="SCC34" s="47"/>
      <c r="SCD34" s="47"/>
      <c r="SCE34" s="47"/>
      <c r="SCF34" s="47"/>
      <c r="SCG34" s="47"/>
      <c r="SCH34" s="47"/>
      <c r="SCI34" s="47"/>
      <c r="SCJ34" s="47"/>
      <c r="SCK34" s="47"/>
      <c r="SCL34" s="47"/>
      <c r="SCM34" s="47"/>
      <c r="SCN34" s="47"/>
      <c r="SCO34" s="47"/>
      <c r="SCP34" s="47"/>
      <c r="SCQ34" s="47"/>
      <c r="SCR34" s="47"/>
      <c r="SCS34" s="47"/>
      <c r="SCT34" s="47"/>
      <c r="SCU34" s="47"/>
      <c r="SCV34" s="47"/>
      <c r="SCW34" s="47"/>
      <c r="SCX34" s="47"/>
      <c r="SCY34" s="47"/>
      <c r="SCZ34" s="47"/>
      <c r="SDA34" s="47"/>
      <c r="SDB34" s="47"/>
      <c r="SDC34" s="47"/>
      <c r="SDD34" s="47"/>
      <c r="SDE34" s="47"/>
      <c r="SDF34" s="47"/>
      <c r="SDG34" s="47"/>
      <c r="SDH34" s="47"/>
      <c r="SDI34" s="47"/>
      <c r="SDJ34" s="47"/>
      <c r="SDK34" s="47"/>
      <c r="SDL34" s="47"/>
      <c r="SDM34" s="47"/>
      <c r="SDN34" s="47"/>
      <c r="SDO34" s="47"/>
      <c r="SDP34" s="47"/>
      <c r="SDQ34" s="47"/>
      <c r="SDR34" s="47"/>
      <c r="SDS34" s="47"/>
      <c r="SDT34" s="47"/>
      <c r="SDU34" s="47"/>
      <c r="SDV34" s="47"/>
      <c r="SDW34" s="47"/>
      <c r="SDX34" s="47"/>
      <c r="SDY34" s="47"/>
      <c r="SDZ34" s="47"/>
      <c r="SEA34" s="47"/>
      <c r="SEB34" s="47"/>
      <c r="SEC34" s="47"/>
      <c r="SED34" s="47"/>
      <c r="SEE34" s="47"/>
      <c r="SEF34" s="47"/>
      <c r="SEG34" s="47"/>
      <c r="SEH34" s="47"/>
      <c r="SEI34" s="47"/>
      <c r="SEJ34" s="47"/>
      <c r="SEK34" s="47"/>
      <c r="SEL34" s="47"/>
      <c r="SEM34" s="47"/>
      <c r="SEN34" s="47"/>
      <c r="SEO34" s="47"/>
      <c r="SEP34" s="47"/>
      <c r="SEQ34" s="47"/>
      <c r="SER34" s="47"/>
      <c r="SES34" s="47"/>
      <c r="SET34" s="47"/>
      <c r="SEU34" s="47"/>
      <c r="SEV34" s="47"/>
      <c r="SEW34" s="47"/>
      <c r="SEX34" s="47"/>
      <c r="SEY34" s="47"/>
      <c r="SEZ34" s="47"/>
      <c r="SFA34" s="47"/>
      <c r="SFB34" s="47"/>
      <c r="SFC34" s="47"/>
      <c r="SFD34" s="47"/>
      <c r="SFE34" s="47"/>
      <c r="SFF34" s="47"/>
      <c r="SFG34" s="47"/>
      <c r="SFH34" s="47"/>
      <c r="SFI34" s="47"/>
      <c r="SFJ34" s="47"/>
      <c r="SFK34" s="47"/>
      <c r="SFL34" s="47"/>
      <c r="SFM34" s="47"/>
      <c r="SFN34" s="47"/>
      <c r="SFO34" s="47"/>
      <c r="SFP34" s="47"/>
      <c r="SFQ34" s="47"/>
      <c r="SFR34" s="47"/>
      <c r="SFS34" s="47"/>
      <c r="SFT34" s="47"/>
      <c r="SFU34" s="47"/>
      <c r="SFV34" s="47"/>
      <c r="SFW34" s="47"/>
      <c r="SFX34" s="47"/>
      <c r="SFY34" s="47"/>
      <c r="SFZ34" s="47"/>
      <c r="SGA34" s="47"/>
      <c r="SGB34" s="47"/>
      <c r="SGC34" s="47"/>
      <c r="SGD34" s="47"/>
      <c r="SGE34" s="47"/>
      <c r="SGF34" s="47"/>
      <c r="SGG34" s="47"/>
      <c r="SGH34" s="47"/>
      <c r="SGI34" s="47"/>
      <c r="SGJ34" s="47"/>
      <c r="SGK34" s="47"/>
      <c r="SGL34" s="47"/>
      <c r="SGM34" s="47"/>
      <c r="SGN34" s="47"/>
      <c r="SGO34" s="47"/>
      <c r="SGP34" s="47"/>
      <c r="SGQ34" s="47"/>
      <c r="SGR34" s="47"/>
      <c r="SGS34" s="47"/>
      <c r="SGT34" s="47"/>
      <c r="SGU34" s="47"/>
      <c r="SGV34" s="47"/>
      <c r="SGW34" s="47"/>
      <c r="SGX34" s="47"/>
      <c r="SGY34" s="47"/>
      <c r="SGZ34" s="47"/>
      <c r="SHA34" s="47"/>
      <c r="SHB34" s="47"/>
      <c r="SHC34" s="47"/>
      <c r="SHD34" s="47"/>
      <c r="SHE34" s="47"/>
      <c r="SHF34" s="47"/>
      <c r="SHG34" s="47"/>
      <c r="SHH34" s="47"/>
      <c r="SHI34" s="47"/>
      <c r="SHJ34" s="47"/>
      <c r="SHK34" s="47"/>
      <c r="SHL34" s="47"/>
      <c r="SHM34" s="47"/>
      <c r="SHN34" s="47"/>
      <c r="SHO34" s="47"/>
      <c r="SHP34" s="47"/>
      <c r="SHQ34" s="47"/>
      <c r="SHR34" s="47"/>
      <c r="SHS34" s="47"/>
      <c r="SHT34" s="47"/>
      <c r="SHU34" s="47"/>
      <c r="SHV34" s="47"/>
      <c r="SHW34" s="47"/>
      <c r="SHX34" s="47"/>
      <c r="SHY34" s="47"/>
      <c r="SHZ34" s="47"/>
      <c r="SIA34" s="47"/>
      <c r="SIB34" s="47"/>
      <c r="SIC34" s="47"/>
      <c r="SID34" s="47"/>
      <c r="SIE34" s="47"/>
      <c r="SIF34" s="47"/>
      <c r="SIG34" s="47"/>
      <c r="SIH34" s="47"/>
      <c r="SII34" s="47"/>
      <c r="SIJ34" s="47"/>
      <c r="SIK34" s="47"/>
      <c r="SIL34" s="47"/>
      <c r="SIM34" s="47"/>
      <c r="SIN34" s="47"/>
      <c r="SIO34" s="47"/>
      <c r="SIP34" s="47"/>
      <c r="SIQ34" s="47"/>
      <c r="SIR34" s="47"/>
      <c r="SIS34" s="47"/>
      <c r="SIT34" s="47"/>
      <c r="SIU34" s="47"/>
      <c r="SIV34" s="47"/>
      <c r="SIW34" s="47"/>
      <c r="SIX34" s="47"/>
      <c r="SIY34" s="47"/>
      <c r="SIZ34" s="47"/>
      <c r="SJA34" s="47"/>
      <c r="SJB34" s="47"/>
      <c r="SJC34" s="47"/>
      <c r="SJD34" s="47"/>
      <c r="SJE34" s="47"/>
      <c r="SJF34" s="47"/>
      <c r="SJG34" s="47"/>
      <c r="SJH34" s="47"/>
      <c r="SJI34" s="47"/>
      <c r="SJJ34" s="47"/>
      <c r="SJK34" s="47"/>
      <c r="SJL34" s="47"/>
      <c r="SJM34" s="47"/>
      <c r="SJN34" s="47"/>
      <c r="SJO34" s="47"/>
      <c r="SJP34" s="47"/>
      <c r="SJQ34" s="47"/>
      <c r="SJR34" s="47"/>
      <c r="SJS34" s="47"/>
      <c r="SJT34" s="47"/>
      <c r="SJU34" s="47"/>
      <c r="SJV34" s="47"/>
      <c r="SJW34" s="47"/>
      <c r="SJX34" s="47"/>
      <c r="SJY34" s="47"/>
      <c r="SJZ34" s="47"/>
      <c r="SKA34" s="47"/>
      <c r="SKB34" s="47"/>
      <c r="SKC34" s="47"/>
      <c r="SKD34" s="47"/>
      <c r="SKE34" s="47"/>
      <c r="SKF34" s="47"/>
      <c r="SKG34" s="47"/>
      <c r="SKH34" s="47"/>
      <c r="SKI34" s="47"/>
      <c r="SKJ34" s="47"/>
      <c r="SKK34" s="47"/>
      <c r="SKL34" s="47"/>
      <c r="SKM34" s="47"/>
      <c r="SKN34" s="47"/>
      <c r="SKO34" s="47"/>
      <c r="SKP34" s="47"/>
      <c r="SKQ34" s="47"/>
      <c r="SKR34" s="47"/>
      <c r="SKS34" s="47"/>
      <c r="SKT34" s="47"/>
      <c r="SKU34" s="47"/>
      <c r="SKV34" s="47"/>
      <c r="SKW34" s="47"/>
      <c r="SKX34" s="47"/>
      <c r="SKY34" s="47"/>
      <c r="SKZ34" s="47"/>
      <c r="SLA34" s="47"/>
      <c r="SLB34" s="47"/>
      <c r="SLC34" s="47"/>
      <c r="SLD34" s="47"/>
      <c r="SLE34" s="47"/>
      <c r="SLF34" s="47"/>
      <c r="SLG34" s="47"/>
      <c r="SLH34" s="47"/>
      <c r="SLI34" s="47"/>
      <c r="SLJ34" s="47"/>
      <c r="SLK34" s="47"/>
      <c r="SLL34" s="47"/>
      <c r="SLM34" s="47"/>
      <c r="SLN34" s="47"/>
      <c r="SLO34" s="47"/>
      <c r="SLP34" s="47"/>
      <c r="SLQ34" s="47"/>
      <c r="SLR34" s="47"/>
      <c r="SLS34" s="47"/>
      <c r="SLT34" s="47"/>
      <c r="SLU34" s="47"/>
      <c r="SLV34" s="47"/>
      <c r="SLW34" s="47"/>
      <c r="SLX34" s="47"/>
      <c r="SLY34" s="47"/>
      <c r="SLZ34" s="47"/>
      <c r="SMA34" s="47"/>
      <c r="SMB34" s="47"/>
      <c r="SMC34" s="47"/>
      <c r="SMD34" s="47"/>
      <c r="SME34" s="47"/>
      <c r="SMF34" s="47"/>
      <c r="SMG34" s="47"/>
      <c r="SMH34" s="47"/>
      <c r="SMI34" s="47"/>
      <c r="SMJ34" s="47"/>
      <c r="SMK34" s="47"/>
      <c r="SML34" s="47"/>
      <c r="SMM34" s="47"/>
      <c r="SMN34" s="47"/>
      <c r="SMO34" s="47"/>
      <c r="SMP34" s="47"/>
      <c r="SMQ34" s="47"/>
      <c r="SMR34" s="47"/>
      <c r="SMS34" s="47"/>
      <c r="SMT34" s="47"/>
      <c r="SMU34" s="47"/>
      <c r="SMV34" s="47"/>
      <c r="SMW34" s="47"/>
      <c r="SMX34" s="47"/>
      <c r="SMY34" s="47"/>
      <c r="SMZ34" s="47"/>
      <c r="SNA34" s="47"/>
      <c r="SNB34" s="47"/>
      <c r="SNC34" s="47"/>
      <c r="SND34" s="47"/>
      <c r="SNE34" s="47"/>
      <c r="SNF34" s="47"/>
      <c r="SNG34" s="47"/>
      <c r="SNH34" s="47"/>
      <c r="SNI34" s="47"/>
      <c r="SNJ34" s="47"/>
      <c r="SNK34" s="47"/>
      <c r="SNL34" s="47"/>
      <c r="SNM34" s="47"/>
      <c r="SNN34" s="47"/>
      <c r="SNO34" s="47"/>
      <c r="SNP34" s="47"/>
      <c r="SNQ34" s="47"/>
      <c r="SNR34" s="47"/>
      <c r="SNS34" s="47"/>
      <c r="SNT34" s="47"/>
      <c r="SNU34" s="47"/>
      <c r="SNV34" s="47"/>
      <c r="SNW34" s="47"/>
      <c r="SNX34" s="47"/>
      <c r="SNY34" s="47"/>
      <c r="SNZ34" s="47"/>
      <c r="SOA34" s="47"/>
      <c r="SOB34" s="47"/>
      <c r="SOC34" s="47"/>
      <c r="SOD34" s="47"/>
      <c r="SOE34" s="47"/>
      <c r="SOF34" s="47"/>
      <c r="SOG34" s="47"/>
      <c r="SOH34" s="47"/>
      <c r="SOI34" s="47"/>
      <c r="SOJ34" s="47"/>
      <c r="SOK34" s="47"/>
      <c r="SOL34" s="47"/>
      <c r="SOM34" s="47"/>
      <c r="SON34" s="47"/>
      <c r="SOO34" s="47"/>
      <c r="SOP34" s="47"/>
      <c r="SOQ34" s="47"/>
      <c r="SOR34" s="47"/>
      <c r="SOS34" s="47"/>
      <c r="SOT34" s="47"/>
      <c r="SOU34" s="47"/>
      <c r="SOV34" s="47"/>
      <c r="SOW34" s="47"/>
      <c r="SOX34" s="47"/>
      <c r="SOY34" s="47"/>
      <c r="SOZ34" s="47"/>
      <c r="SPA34" s="47"/>
      <c r="SPB34" s="47"/>
      <c r="SPC34" s="47"/>
      <c r="SPD34" s="47"/>
      <c r="SPE34" s="47"/>
      <c r="SPF34" s="47"/>
      <c r="SPG34" s="47"/>
      <c r="SPH34" s="47"/>
      <c r="SPI34" s="47"/>
      <c r="SPJ34" s="47"/>
      <c r="SPK34" s="47"/>
      <c r="SPL34" s="47"/>
      <c r="SPM34" s="47"/>
      <c r="SPN34" s="47"/>
      <c r="SPO34" s="47"/>
      <c r="SPP34" s="47"/>
      <c r="SPQ34" s="47"/>
      <c r="SPR34" s="47"/>
      <c r="SPS34" s="47"/>
      <c r="SPT34" s="47"/>
      <c r="SPU34" s="47"/>
      <c r="SPV34" s="47"/>
      <c r="SPW34" s="47"/>
      <c r="SPX34" s="47"/>
      <c r="SPY34" s="47"/>
      <c r="SPZ34" s="47"/>
      <c r="SQA34" s="47"/>
      <c r="SQB34" s="47"/>
      <c r="SQC34" s="47"/>
      <c r="SQD34" s="47"/>
      <c r="SQE34" s="47"/>
      <c r="SQF34" s="47"/>
      <c r="SQG34" s="47"/>
      <c r="SQH34" s="47"/>
      <c r="SQI34" s="47"/>
      <c r="SQJ34" s="47"/>
      <c r="SQK34" s="47"/>
      <c r="SQL34" s="47"/>
      <c r="SQM34" s="47"/>
      <c r="SQN34" s="47"/>
      <c r="SQO34" s="47"/>
      <c r="SQP34" s="47"/>
      <c r="SQQ34" s="47"/>
      <c r="SQR34" s="47"/>
      <c r="SQS34" s="47"/>
      <c r="SQT34" s="47"/>
      <c r="SQU34" s="47"/>
      <c r="SQV34" s="47"/>
      <c r="SQW34" s="47"/>
      <c r="SQX34" s="47"/>
      <c r="SQY34" s="47"/>
      <c r="SQZ34" s="47"/>
      <c r="SRA34" s="47"/>
      <c r="SRB34" s="47"/>
      <c r="SRC34" s="47"/>
      <c r="SRD34" s="47"/>
      <c r="SRE34" s="47"/>
      <c r="SRF34" s="47"/>
      <c r="SRG34" s="47"/>
      <c r="SRH34" s="47"/>
      <c r="SRI34" s="47"/>
      <c r="SRJ34" s="47"/>
      <c r="SRK34" s="47"/>
      <c r="SRL34" s="47"/>
      <c r="SRM34" s="47"/>
      <c r="SRN34" s="47"/>
      <c r="SRO34" s="47"/>
      <c r="SRP34" s="47"/>
      <c r="SRQ34" s="47"/>
      <c r="SRR34" s="47"/>
      <c r="SRS34" s="47"/>
      <c r="SRT34" s="47"/>
      <c r="SRU34" s="47"/>
      <c r="SRV34" s="47"/>
      <c r="SRW34" s="47"/>
      <c r="SRX34" s="47"/>
      <c r="SRY34" s="47"/>
      <c r="SRZ34" s="47"/>
      <c r="SSA34" s="47"/>
      <c r="SSB34" s="47"/>
      <c r="SSC34" s="47"/>
      <c r="SSD34" s="47"/>
      <c r="SSE34" s="47"/>
      <c r="SSF34" s="47"/>
      <c r="SSG34" s="47"/>
      <c r="SSH34" s="47"/>
      <c r="SSI34" s="47"/>
      <c r="SSJ34" s="47"/>
      <c r="SSK34" s="47"/>
      <c r="SSL34" s="47"/>
      <c r="SSM34" s="47"/>
      <c r="SSN34" s="47"/>
      <c r="SSO34" s="47"/>
      <c r="SSP34" s="47"/>
      <c r="SSQ34" s="47"/>
      <c r="SSR34" s="47"/>
      <c r="SSS34" s="47"/>
      <c r="SST34" s="47"/>
      <c r="SSU34" s="47"/>
      <c r="SSV34" s="47"/>
      <c r="SSW34" s="47"/>
      <c r="SSX34" s="47"/>
      <c r="SSY34" s="47"/>
      <c r="SSZ34" s="47"/>
      <c r="STA34" s="47"/>
      <c r="STB34" s="47"/>
      <c r="STC34" s="47"/>
      <c r="STD34" s="47"/>
      <c r="STE34" s="47"/>
      <c r="STF34" s="47"/>
      <c r="STG34" s="47"/>
      <c r="STH34" s="47"/>
      <c r="STI34" s="47"/>
      <c r="STJ34" s="47"/>
      <c r="STK34" s="47"/>
      <c r="STL34" s="47"/>
      <c r="STM34" s="47"/>
      <c r="STN34" s="47"/>
      <c r="STO34" s="47"/>
      <c r="STP34" s="47"/>
      <c r="STQ34" s="47"/>
      <c r="STR34" s="47"/>
      <c r="STS34" s="47"/>
      <c r="STT34" s="47"/>
      <c r="STU34" s="47"/>
      <c r="STV34" s="47"/>
      <c r="STW34" s="47"/>
      <c r="STX34" s="47"/>
      <c r="STY34" s="47"/>
      <c r="STZ34" s="47"/>
      <c r="SUA34" s="47"/>
      <c r="SUB34" s="47"/>
      <c r="SUC34" s="47"/>
      <c r="SUD34" s="47"/>
      <c r="SUE34" s="47"/>
      <c r="SUF34" s="47"/>
      <c r="SUG34" s="47"/>
      <c r="SUH34" s="47"/>
      <c r="SUI34" s="47"/>
      <c r="SUJ34" s="47"/>
      <c r="SUK34" s="47"/>
      <c r="SUL34" s="47"/>
      <c r="SUM34" s="47"/>
      <c r="SUN34" s="47"/>
      <c r="SUO34" s="47"/>
      <c r="SUP34" s="47"/>
      <c r="SUQ34" s="47"/>
      <c r="SUR34" s="47"/>
      <c r="SUS34" s="47"/>
      <c r="SUT34" s="47"/>
      <c r="SUU34" s="47"/>
      <c r="SUV34" s="47"/>
      <c r="SUW34" s="47"/>
      <c r="SUX34" s="47"/>
      <c r="SUY34" s="47"/>
      <c r="SUZ34" s="47"/>
      <c r="SVA34" s="47"/>
      <c r="SVB34" s="47"/>
      <c r="SVC34" s="47"/>
      <c r="SVD34" s="47"/>
      <c r="SVE34" s="47"/>
      <c r="SVF34" s="47"/>
      <c r="SVG34" s="47"/>
      <c r="SVH34" s="47"/>
      <c r="SVI34" s="47"/>
      <c r="SVJ34" s="47"/>
      <c r="SVK34" s="47"/>
      <c r="SVL34" s="47"/>
      <c r="SVM34" s="47"/>
      <c r="SVN34" s="47"/>
      <c r="SVO34" s="47"/>
      <c r="SVP34" s="47"/>
      <c r="SVQ34" s="47"/>
      <c r="SVR34" s="47"/>
      <c r="SVS34" s="47"/>
      <c r="SVT34" s="47"/>
      <c r="SVU34" s="47"/>
      <c r="SVV34" s="47"/>
      <c r="SVW34" s="47"/>
      <c r="SVX34" s="47"/>
      <c r="SVY34" s="47"/>
      <c r="SVZ34" s="47"/>
      <c r="SWA34" s="47"/>
      <c r="SWB34" s="47"/>
      <c r="SWC34" s="47"/>
      <c r="SWD34" s="47"/>
      <c r="SWE34" s="47"/>
      <c r="SWF34" s="47"/>
      <c r="SWG34" s="47"/>
      <c r="SWH34" s="47"/>
      <c r="SWI34" s="47"/>
      <c r="SWJ34" s="47"/>
      <c r="SWK34" s="47"/>
      <c r="SWL34" s="47"/>
      <c r="SWM34" s="47"/>
      <c r="SWN34" s="47"/>
      <c r="SWO34" s="47"/>
      <c r="SWP34" s="47"/>
      <c r="SWQ34" s="47"/>
      <c r="SWR34" s="47"/>
      <c r="SWS34" s="47"/>
      <c r="SWT34" s="47"/>
      <c r="SWU34" s="47"/>
      <c r="SWV34" s="47"/>
      <c r="SWW34" s="47"/>
      <c r="SWX34" s="47"/>
      <c r="SWY34" s="47"/>
      <c r="SWZ34" s="47"/>
      <c r="SXA34" s="47"/>
      <c r="SXB34" s="47"/>
      <c r="SXC34" s="47"/>
      <c r="SXD34" s="47"/>
      <c r="SXE34" s="47"/>
      <c r="SXF34" s="47"/>
      <c r="SXG34" s="47"/>
      <c r="SXH34" s="47"/>
      <c r="SXI34" s="47"/>
      <c r="SXJ34" s="47"/>
      <c r="SXK34" s="47"/>
      <c r="SXL34" s="47"/>
      <c r="SXM34" s="47"/>
      <c r="SXN34" s="47"/>
      <c r="SXO34" s="47"/>
      <c r="SXP34" s="47"/>
      <c r="SXQ34" s="47"/>
      <c r="SXR34" s="47"/>
      <c r="SXS34" s="47"/>
      <c r="SXT34" s="47"/>
      <c r="SXU34" s="47"/>
      <c r="SXV34" s="47"/>
      <c r="SXW34" s="47"/>
      <c r="SXX34" s="47"/>
      <c r="SXY34" s="47"/>
      <c r="SXZ34" s="47"/>
      <c r="SYA34" s="47"/>
      <c r="SYB34" s="47"/>
      <c r="SYC34" s="47"/>
      <c r="SYD34" s="47"/>
      <c r="SYE34" s="47"/>
      <c r="SYF34" s="47"/>
      <c r="SYG34" s="47"/>
      <c r="SYH34" s="47"/>
      <c r="SYI34" s="47"/>
      <c r="SYJ34" s="47"/>
      <c r="SYK34" s="47"/>
      <c r="SYL34" s="47"/>
      <c r="SYM34" s="47"/>
      <c r="SYN34" s="47"/>
      <c r="SYO34" s="47"/>
      <c r="SYP34" s="47"/>
      <c r="SYQ34" s="47"/>
      <c r="SYR34" s="47"/>
      <c r="SYS34" s="47"/>
      <c r="SYT34" s="47"/>
      <c r="SYU34" s="47"/>
      <c r="SYV34" s="47"/>
      <c r="SYW34" s="47"/>
      <c r="SYX34" s="47"/>
      <c r="SYY34" s="47"/>
      <c r="SYZ34" s="47"/>
      <c r="SZA34" s="47"/>
      <c r="SZB34" s="47"/>
      <c r="SZC34" s="47"/>
      <c r="SZD34" s="47"/>
      <c r="SZE34" s="47"/>
      <c r="SZF34" s="47"/>
      <c r="SZG34" s="47"/>
      <c r="SZH34" s="47"/>
      <c r="SZI34" s="47"/>
      <c r="SZJ34" s="47"/>
      <c r="SZK34" s="47"/>
      <c r="SZL34" s="47"/>
      <c r="SZM34" s="47"/>
      <c r="SZN34" s="47"/>
      <c r="SZO34" s="47"/>
      <c r="SZP34" s="47"/>
      <c r="SZQ34" s="47"/>
      <c r="SZR34" s="47"/>
      <c r="SZS34" s="47"/>
      <c r="SZT34" s="47"/>
      <c r="SZU34" s="47"/>
      <c r="SZV34" s="47"/>
      <c r="SZW34" s="47"/>
      <c r="SZX34" s="47"/>
      <c r="SZY34" s="47"/>
      <c r="SZZ34" s="47"/>
      <c r="TAA34" s="47"/>
      <c r="TAB34" s="47"/>
      <c r="TAC34" s="47"/>
      <c r="TAD34" s="47"/>
      <c r="TAE34" s="47"/>
      <c r="TAF34" s="47"/>
      <c r="TAG34" s="47"/>
      <c r="TAH34" s="47"/>
      <c r="TAI34" s="47"/>
      <c r="TAJ34" s="47"/>
      <c r="TAK34" s="47"/>
      <c r="TAL34" s="47"/>
      <c r="TAM34" s="47"/>
      <c r="TAN34" s="47"/>
      <c r="TAO34" s="47"/>
      <c r="TAP34" s="47"/>
      <c r="TAQ34" s="47"/>
      <c r="TAR34" s="47"/>
      <c r="TAS34" s="47"/>
      <c r="TAT34" s="47"/>
      <c r="TAU34" s="47"/>
      <c r="TAV34" s="47"/>
      <c r="TAW34" s="47"/>
      <c r="TAX34" s="47"/>
      <c r="TAY34" s="47"/>
      <c r="TAZ34" s="47"/>
      <c r="TBA34" s="47"/>
      <c r="TBB34" s="47"/>
      <c r="TBC34" s="47"/>
      <c r="TBD34" s="47"/>
      <c r="TBE34" s="47"/>
      <c r="TBF34" s="47"/>
      <c r="TBG34" s="47"/>
      <c r="TBH34" s="47"/>
      <c r="TBI34" s="47"/>
      <c r="TBJ34" s="47"/>
      <c r="TBK34" s="47"/>
      <c r="TBL34" s="47"/>
      <c r="TBM34" s="47"/>
      <c r="TBN34" s="47"/>
      <c r="TBO34" s="47"/>
      <c r="TBP34" s="47"/>
      <c r="TBQ34" s="47"/>
      <c r="TBR34" s="47"/>
      <c r="TBS34" s="47"/>
      <c r="TBT34" s="47"/>
      <c r="TBU34" s="47"/>
      <c r="TBV34" s="47"/>
      <c r="TBW34" s="47"/>
      <c r="TBX34" s="47"/>
      <c r="TBY34" s="47"/>
      <c r="TBZ34" s="47"/>
      <c r="TCA34" s="47"/>
      <c r="TCB34" s="47"/>
      <c r="TCC34" s="47"/>
      <c r="TCD34" s="47"/>
      <c r="TCE34" s="47"/>
      <c r="TCF34" s="47"/>
      <c r="TCG34" s="47"/>
      <c r="TCH34" s="47"/>
      <c r="TCI34" s="47"/>
      <c r="TCJ34" s="47"/>
      <c r="TCK34" s="47"/>
      <c r="TCL34" s="47"/>
      <c r="TCM34" s="47"/>
      <c r="TCN34" s="47"/>
      <c r="TCO34" s="47"/>
      <c r="TCP34" s="47"/>
      <c r="TCQ34" s="47"/>
      <c r="TCR34" s="47"/>
      <c r="TCS34" s="47"/>
      <c r="TCT34" s="47"/>
      <c r="TCU34" s="47"/>
      <c r="TCV34" s="47"/>
      <c r="TCW34" s="47"/>
      <c r="TCX34" s="47"/>
      <c r="TCY34" s="47"/>
      <c r="TCZ34" s="47"/>
      <c r="TDA34" s="47"/>
      <c r="TDB34" s="47"/>
      <c r="TDC34" s="47"/>
      <c r="TDD34" s="47"/>
      <c r="TDE34" s="47"/>
      <c r="TDF34" s="47"/>
      <c r="TDG34" s="47"/>
      <c r="TDH34" s="47"/>
      <c r="TDI34" s="47"/>
      <c r="TDJ34" s="47"/>
      <c r="TDK34" s="47"/>
      <c r="TDL34" s="47"/>
      <c r="TDM34" s="47"/>
      <c r="TDN34" s="47"/>
      <c r="TDO34" s="47"/>
      <c r="TDP34" s="47"/>
      <c r="TDQ34" s="47"/>
      <c r="TDR34" s="47"/>
      <c r="TDS34" s="47"/>
      <c r="TDT34" s="47"/>
      <c r="TDU34" s="47"/>
      <c r="TDV34" s="47"/>
      <c r="TDW34" s="47"/>
      <c r="TDX34" s="47"/>
      <c r="TDY34" s="47"/>
      <c r="TDZ34" s="47"/>
      <c r="TEA34" s="47"/>
      <c r="TEB34" s="47"/>
      <c r="TEC34" s="47"/>
      <c r="TED34" s="47"/>
      <c r="TEE34" s="47"/>
      <c r="TEF34" s="47"/>
      <c r="TEG34" s="47"/>
      <c r="TEH34" s="47"/>
      <c r="TEI34" s="47"/>
      <c r="TEJ34" s="47"/>
      <c r="TEK34" s="47"/>
      <c r="TEL34" s="47"/>
      <c r="TEM34" s="47"/>
      <c r="TEN34" s="47"/>
      <c r="TEO34" s="47"/>
      <c r="TEP34" s="47"/>
      <c r="TEQ34" s="47"/>
      <c r="TER34" s="47"/>
      <c r="TES34" s="47"/>
      <c r="TET34" s="47"/>
      <c r="TEU34" s="47"/>
      <c r="TEV34" s="47"/>
      <c r="TEW34" s="47"/>
      <c r="TEX34" s="47"/>
      <c r="TEY34" s="47"/>
      <c r="TEZ34" s="47"/>
      <c r="TFA34" s="47"/>
      <c r="TFB34" s="47"/>
      <c r="TFC34" s="47"/>
      <c r="TFD34" s="47"/>
      <c r="TFE34" s="47"/>
      <c r="TFF34" s="47"/>
      <c r="TFG34" s="47"/>
      <c r="TFH34" s="47"/>
      <c r="TFI34" s="47"/>
      <c r="TFJ34" s="47"/>
      <c r="TFK34" s="47"/>
      <c r="TFL34" s="47"/>
      <c r="TFM34" s="47"/>
      <c r="TFN34" s="47"/>
      <c r="TFO34" s="47"/>
      <c r="TFP34" s="47"/>
      <c r="TFQ34" s="47"/>
      <c r="TFR34" s="47"/>
      <c r="TFS34" s="47"/>
      <c r="TFT34" s="47"/>
      <c r="TFU34" s="47"/>
      <c r="TFV34" s="47"/>
      <c r="TFW34" s="47"/>
      <c r="TFX34" s="47"/>
      <c r="TFY34" s="47"/>
      <c r="TFZ34" s="47"/>
      <c r="TGA34" s="47"/>
      <c r="TGB34" s="47"/>
      <c r="TGC34" s="47"/>
      <c r="TGD34" s="47"/>
      <c r="TGE34" s="47"/>
      <c r="TGF34" s="47"/>
      <c r="TGG34" s="47"/>
      <c r="TGH34" s="47"/>
      <c r="TGI34" s="47"/>
      <c r="TGJ34" s="47"/>
      <c r="TGK34" s="47"/>
      <c r="TGL34" s="47"/>
      <c r="TGM34" s="47"/>
      <c r="TGN34" s="47"/>
      <c r="TGO34" s="47"/>
      <c r="TGP34" s="47"/>
      <c r="TGQ34" s="47"/>
      <c r="TGR34" s="47"/>
      <c r="TGS34" s="47"/>
      <c r="TGT34" s="47"/>
      <c r="TGU34" s="47"/>
      <c r="TGV34" s="47"/>
      <c r="TGW34" s="47"/>
      <c r="TGX34" s="47"/>
      <c r="TGY34" s="47"/>
      <c r="TGZ34" s="47"/>
      <c r="THA34" s="47"/>
      <c r="THB34" s="47"/>
      <c r="THC34" s="47"/>
      <c r="THD34" s="47"/>
      <c r="THE34" s="47"/>
      <c r="THF34" s="47"/>
      <c r="THG34" s="47"/>
      <c r="THH34" s="47"/>
      <c r="THI34" s="47"/>
      <c r="THJ34" s="47"/>
      <c r="THK34" s="47"/>
      <c r="THL34" s="47"/>
      <c r="THM34" s="47"/>
      <c r="THN34" s="47"/>
      <c r="THO34" s="47"/>
      <c r="THP34" s="47"/>
      <c r="THQ34" s="47"/>
      <c r="THR34" s="47"/>
      <c r="THS34" s="47"/>
      <c r="THT34" s="47"/>
      <c r="THU34" s="47"/>
      <c r="THV34" s="47"/>
      <c r="THW34" s="47"/>
      <c r="THX34" s="47"/>
      <c r="THY34" s="47"/>
      <c r="THZ34" s="47"/>
      <c r="TIA34" s="47"/>
      <c r="TIB34" s="47"/>
      <c r="TIC34" s="47"/>
      <c r="TID34" s="47"/>
      <c r="TIE34" s="47"/>
      <c r="TIF34" s="47"/>
      <c r="TIG34" s="47"/>
      <c r="TIH34" s="47"/>
      <c r="TII34" s="47"/>
      <c r="TIJ34" s="47"/>
      <c r="TIK34" s="47"/>
      <c r="TIL34" s="47"/>
      <c r="TIM34" s="47"/>
      <c r="TIN34" s="47"/>
      <c r="TIO34" s="47"/>
      <c r="TIP34" s="47"/>
      <c r="TIQ34" s="47"/>
      <c r="TIR34" s="47"/>
      <c r="TIS34" s="47"/>
      <c r="TIT34" s="47"/>
      <c r="TIU34" s="47"/>
      <c r="TIV34" s="47"/>
      <c r="TIW34" s="47"/>
      <c r="TIX34" s="47"/>
      <c r="TIY34" s="47"/>
      <c r="TIZ34" s="47"/>
      <c r="TJA34" s="47"/>
      <c r="TJB34" s="47"/>
      <c r="TJC34" s="47"/>
      <c r="TJD34" s="47"/>
      <c r="TJE34" s="47"/>
      <c r="TJF34" s="47"/>
      <c r="TJG34" s="47"/>
      <c r="TJH34" s="47"/>
      <c r="TJI34" s="47"/>
      <c r="TJJ34" s="47"/>
      <c r="TJK34" s="47"/>
      <c r="TJL34" s="47"/>
      <c r="TJM34" s="47"/>
      <c r="TJN34" s="47"/>
      <c r="TJO34" s="47"/>
      <c r="TJP34" s="47"/>
      <c r="TJQ34" s="47"/>
      <c r="TJR34" s="47"/>
      <c r="TJS34" s="47"/>
      <c r="TJT34" s="47"/>
      <c r="TJU34" s="47"/>
      <c r="TJV34" s="47"/>
      <c r="TJW34" s="47"/>
      <c r="TJX34" s="47"/>
      <c r="TJY34" s="47"/>
      <c r="TJZ34" s="47"/>
      <c r="TKA34" s="47"/>
      <c r="TKB34" s="47"/>
      <c r="TKC34" s="47"/>
      <c r="TKD34" s="47"/>
      <c r="TKE34" s="47"/>
      <c r="TKF34" s="47"/>
      <c r="TKG34" s="47"/>
      <c r="TKH34" s="47"/>
      <c r="TKI34" s="47"/>
      <c r="TKJ34" s="47"/>
      <c r="TKK34" s="47"/>
      <c r="TKL34" s="47"/>
      <c r="TKM34" s="47"/>
      <c r="TKN34" s="47"/>
      <c r="TKO34" s="47"/>
      <c r="TKP34" s="47"/>
      <c r="TKQ34" s="47"/>
      <c r="TKR34" s="47"/>
      <c r="TKS34" s="47"/>
      <c r="TKT34" s="47"/>
      <c r="TKU34" s="47"/>
      <c r="TKV34" s="47"/>
      <c r="TKW34" s="47"/>
      <c r="TKX34" s="47"/>
      <c r="TKY34" s="47"/>
      <c r="TKZ34" s="47"/>
      <c r="TLA34" s="47"/>
      <c r="TLB34" s="47"/>
      <c r="TLC34" s="47"/>
      <c r="TLD34" s="47"/>
      <c r="TLE34" s="47"/>
      <c r="TLF34" s="47"/>
      <c r="TLG34" s="47"/>
      <c r="TLH34" s="47"/>
      <c r="TLI34" s="47"/>
      <c r="TLJ34" s="47"/>
      <c r="TLK34" s="47"/>
      <c r="TLL34" s="47"/>
      <c r="TLM34" s="47"/>
      <c r="TLN34" s="47"/>
      <c r="TLO34" s="47"/>
      <c r="TLP34" s="47"/>
      <c r="TLQ34" s="47"/>
      <c r="TLR34" s="47"/>
      <c r="TLS34" s="47"/>
      <c r="TLT34" s="47"/>
      <c r="TLU34" s="47"/>
      <c r="TLV34" s="47"/>
      <c r="TLW34" s="47"/>
      <c r="TLX34" s="47"/>
      <c r="TLY34" s="47"/>
      <c r="TLZ34" s="47"/>
      <c r="TMA34" s="47"/>
      <c r="TMB34" s="47"/>
      <c r="TMC34" s="47"/>
      <c r="TMD34" s="47"/>
      <c r="TME34" s="47"/>
      <c r="TMF34" s="47"/>
      <c r="TMG34" s="47"/>
      <c r="TMH34" s="47"/>
      <c r="TMI34" s="47"/>
      <c r="TMJ34" s="47"/>
      <c r="TMK34" s="47"/>
      <c r="TML34" s="47"/>
      <c r="TMM34" s="47"/>
      <c r="TMN34" s="47"/>
      <c r="TMO34" s="47"/>
      <c r="TMP34" s="47"/>
      <c r="TMQ34" s="47"/>
      <c r="TMR34" s="47"/>
      <c r="TMS34" s="47"/>
      <c r="TMT34" s="47"/>
      <c r="TMU34" s="47"/>
      <c r="TMV34" s="47"/>
      <c r="TMW34" s="47"/>
      <c r="TMX34" s="47"/>
      <c r="TMY34" s="47"/>
      <c r="TMZ34" s="47"/>
      <c r="TNA34" s="47"/>
      <c r="TNB34" s="47"/>
      <c r="TNC34" s="47"/>
      <c r="TND34" s="47"/>
      <c r="TNE34" s="47"/>
      <c r="TNF34" s="47"/>
      <c r="TNG34" s="47"/>
      <c r="TNH34" s="47"/>
      <c r="TNI34" s="47"/>
      <c r="TNJ34" s="47"/>
      <c r="TNK34" s="47"/>
      <c r="TNL34" s="47"/>
      <c r="TNM34" s="47"/>
      <c r="TNN34" s="47"/>
      <c r="TNO34" s="47"/>
      <c r="TNP34" s="47"/>
      <c r="TNQ34" s="47"/>
      <c r="TNR34" s="47"/>
      <c r="TNS34" s="47"/>
      <c r="TNT34" s="47"/>
      <c r="TNU34" s="47"/>
      <c r="TNV34" s="47"/>
      <c r="TNW34" s="47"/>
      <c r="TNX34" s="47"/>
      <c r="TNY34" s="47"/>
      <c r="TNZ34" s="47"/>
      <c r="TOA34" s="47"/>
      <c r="TOB34" s="47"/>
      <c r="TOC34" s="47"/>
      <c r="TOD34" s="47"/>
      <c r="TOE34" s="47"/>
      <c r="TOF34" s="47"/>
      <c r="TOG34" s="47"/>
      <c r="TOH34" s="47"/>
      <c r="TOI34" s="47"/>
      <c r="TOJ34" s="47"/>
      <c r="TOK34" s="47"/>
      <c r="TOL34" s="47"/>
      <c r="TOM34" s="47"/>
      <c r="TON34" s="47"/>
      <c r="TOO34" s="47"/>
      <c r="TOP34" s="47"/>
      <c r="TOQ34" s="47"/>
      <c r="TOR34" s="47"/>
      <c r="TOS34" s="47"/>
      <c r="TOT34" s="47"/>
      <c r="TOU34" s="47"/>
      <c r="TOV34" s="47"/>
      <c r="TOW34" s="47"/>
      <c r="TOX34" s="47"/>
      <c r="TOY34" s="47"/>
      <c r="TOZ34" s="47"/>
      <c r="TPA34" s="47"/>
      <c r="TPB34" s="47"/>
      <c r="TPC34" s="47"/>
      <c r="TPD34" s="47"/>
      <c r="TPE34" s="47"/>
      <c r="TPF34" s="47"/>
      <c r="TPG34" s="47"/>
      <c r="TPH34" s="47"/>
      <c r="TPI34" s="47"/>
      <c r="TPJ34" s="47"/>
      <c r="TPK34" s="47"/>
      <c r="TPL34" s="47"/>
      <c r="TPM34" s="47"/>
      <c r="TPN34" s="47"/>
      <c r="TPO34" s="47"/>
      <c r="TPP34" s="47"/>
      <c r="TPQ34" s="47"/>
      <c r="TPR34" s="47"/>
      <c r="TPS34" s="47"/>
      <c r="TPT34" s="47"/>
      <c r="TPU34" s="47"/>
      <c r="TPV34" s="47"/>
      <c r="TPW34" s="47"/>
      <c r="TPX34" s="47"/>
      <c r="TPY34" s="47"/>
      <c r="TPZ34" s="47"/>
      <c r="TQA34" s="47"/>
      <c r="TQB34" s="47"/>
      <c r="TQC34" s="47"/>
      <c r="TQD34" s="47"/>
      <c r="TQE34" s="47"/>
      <c r="TQF34" s="47"/>
      <c r="TQG34" s="47"/>
      <c r="TQH34" s="47"/>
      <c r="TQI34" s="47"/>
      <c r="TQJ34" s="47"/>
      <c r="TQK34" s="47"/>
      <c r="TQL34" s="47"/>
      <c r="TQM34" s="47"/>
      <c r="TQN34" s="47"/>
      <c r="TQO34" s="47"/>
      <c r="TQP34" s="47"/>
      <c r="TQQ34" s="47"/>
      <c r="TQR34" s="47"/>
      <c r="TQS34" s="47"/>
      <c r="TQT34" s="47"/>
      <c r="TQU34" s="47"/>
      <c r="TQV34" s="47"/>
      <c r="TQW34" s="47"/>
      <c r="TQX34" s="47"/>
      <c r="TQY34" s="47"/>
      <c r="TQZ34" s="47"/>
      <c r="TRA34" s="47"/>
      <c r="TRB34" s="47"/>
      <c r="TRC34" s="47"/>
      <c r="TRD34" s="47"/>
      <c r="TRE34" s="47"/>
      <c r="TRF34" s="47"/>
      <c r="TRG34" s="47"/>
      <c r="TRH34" s="47"/>
      <c r="TRI34" s="47"/>
      <c r="TRJ34" s="47"/>
      <c r="TRK34" s="47"/>
      <c r="TRL34" s="47"/>
      <c r="TRM34" s="47"/>
      <c r="TRN34" s="47"/>
      <c r="TRO34" s="47"/>
      <c r="TRP34" s="47"/>
      <c r="TRQ34" s="47"/>
      <c r="TRR34" s="47"/>
      <c r="TRS34" s="47"/>
      <c r="TRT34" s="47"/>
      <c r="TRU34" s="47"/>
      <c r="TRV34" s="47"/>
      <c r="TRW34" s="47"/>
      <c r="TRX34" s="47"/>
      <c r="TRY34" s="47"/>
      <c r="TRZ34" s="47"/>
      <c r="TSA34" s="47"/>
      <c r="TSB34" s="47"/>
      <c r="TSC34" s="47"/>
      <c r="TSD34" s="47"/>
      <c r="TSE34" s="47"/>
      <c r="TSF34" s="47"/>
      <c r="TSG34" s="47"/>
      <c r="TSH34" s="47"/>
      <c r="TSI34" s="47"/>
      <c r="TSJ34" s="47"/>
      <c r="TSK34" s="47"/>
      <c r="TSL34" s="47"/>
      <c r="TSM34" s="47"/>
      <c r="TSN34" s="47"/>
      <c r="TSO34" s="47"/>
      <c r="TSP34" s="47"/>
      <c r="TSQ34" s="47"/>
      <c r="TSR34" s="47"/>
      <c r="TSS34" s="47"/>
      <c r="TST34" s="47"/>
      <c r="TSU34" s="47"/>
      <c r="TSV34" s="47"/>
      <c r="TSW34" s="47"/>
      <c r="TSX34" s="47"/>
      <c r="TSY34" s="47"/>
      <c r="TSZ34" s="47"/>
      <c r="TTA34" s="47"/>
      <c r="TTB34" s="47"/>
      <c r="TTC34" s="47"/>
      <c r="TTD34" s="47"/>
      <c r="TTE34" s="47"/>
      <c r="TTF34" s="47"/>
      <c r="TTG34" s="47"/>
      <c r="TTH34" s="47"/>
      <c r="TTI34" s="47"/>
      <c r="TTJ34" s="47"/>
      <c r="TTK34" s="47"/>
      <c r="TTL34" s="47"/>
      <c r="TTM34" s="47"/>
      <c r="TTN34" s="47"/>
      <c r="TTO34" s="47"/>
      <c r="TTP34" s="47"/>
      <c r="TTQ34" s="47"/>
      <c r="TTR34" s="47"/>
      <c r="TTS34" s="47"/>
      <c r="TTT34" s="47"/>
      <c r="TTU34" s="47"/>
      <c r="TTV34" s="47"/>
      <c r="TTW34" s="47"/>
      <c r="TTX34" s="47"/>
      <c r="TTY34" s="47"/>
      <c r="TTZ34" s="47"/>
      <c r="TUA34" s="47"/>
      <c r="TUB34" s="47"/>
      <c r="TUC34" s="47"/>
      <c r="TUD34" s="47"/>
      <c r="TUE34" s="47"/>
      <c r="TUF34" s="47"/>
      <c r="TUG34" s="47"/>
      <c r="TUH34" s="47"/>
      <c r="TUI34" s="47"/>
      <c r="TUJ34" s="47"/>
      <c r="TUK34" s="47"/>
      <c r="TUL34" s="47"/>
      <c r="TUM34" s="47"/>
      <c r="TUN34" s="47"/>
      <c r="TUO34" s="47"/>
      <c r="TUP34" s="47"/>
      <c r="TUQ34" s="47"/>
      <c r="TUR34" s="47"/>
      <c r="TUS34" s="47"/>
      <c r="TUT34" s="47"/>
      <c r="TUU34" s="47"/>
      <c r="TUV34" s="47"/>
      <c r="TUW34" s="47"/>
      <c r="TUX34" s="47"/>
      <c r="TUY34" s="47"/>
      <c r="TUZ34" s="47"/>
      <c r="TVA34" s="47"/>
      <c r="TVB34" s="47"/>
      <c r="TVC34" s="47"/>
      <c r="TVD34" s="47"/>
      <c r="TVE34" s="47"/>
      <c r="TVF34" s="47"/>
      <c r="TVG34" s="47"/>
      <c r="TVH34" s="47"/>
      <c r="TVI34" s="47"/>
      <c r="TVJ34" s="47"/>
      <c r="TVK34" s="47"/>
      <c r="TVL34" s="47"/>
      <c r="TVM34" s="47"/>
      <c r="TVN34" s="47"/>
      <c r="TVO34" s="47"/>
      <c r="TVP34" s="47"/>
      <c r="TVQ34" s="47"/>
      <c r="TVR34" s="47"/>
      <c r="TVS34" s="47"/>
      <c r="TVT34" s="47"/>
      <c r="TVU34" s="47"/>
      <c r="TVV34" s="47"/>
      <c r="TVW34" s="47"/>
      <c r="TVX34" s="47"/>
      <c r="TVY34" s="47"/>
      <c r="TVZ34" s="47"/>
      <c r="TWA34" s="47"/>
      <c r="TWB34" s="47"/>
      <c r="TWC34" s="47"/>
      <c r="TWD34" s="47"/>
      <c r="TWE34" s="47"/>
      <c r="TWF34" s="47"/>
      <c r="TWG34" s="47"/>
      <c r="TWH34" s="47"/>
      <c r="TWI34" s="47"/>
      <c r="TWJ34" s="47"/>
      <c r="TWK34" s="47"/>
      <c r="TWL34" s="47"/>
      <c r="TWM34" s="47"/>
      <c r="TWN34" s="47"/>
      <c r="TWO34" s="47"/>
      <c r="TWP34" s="47"/>
      <c r="TWQ34" s="47"/>
      <c r="TWR34" s="47"/>
      <c r="TWS34" s="47"/>
      <c r="TWT34" s="47"/>
      <c r="TWU34" s="47"/>
      <c r="TWV34" s="47"/>
      <c r="TWW34" s="47"/>
      <c r="TWX34" s="47"/>
      <c r="TWY34" s="47"/>
      <c r="TWZ34" s="47"/>
      <c r="TXA34" s="47"/>
      <c r="TXB34" s="47"/>
      <c r="TXC34" s="47"/>
      <c r="TXD34" s="47"/>
      <c r="TXE34" s="47"/>
      <c r="TXF34" s="47"/>
      <c r="TXG34" s="47"/>
      <c r="TXH34" s="47"/>
      <c r="TXI34" s="47"/>
      <c r="TXJ34" s="47"/>
      <c r="TXK34" s="47"/>
      <c r="TXL34" s="47"/>
      <c r="TXM34" s="47"/>
      <c r="TXN34" s="47"/>
      <c r="TXO34" s="47"/>
      <c r="TXP34" s="47"/>
      <c r="TXQ34" s="47"/>
      <c r="TXR34" s="47"/>
      <c r="TXS34" s="47"/>
      <c r="TXT34" s="47"/>
      <c r="TXU34" s="47"/>
      <c r="TXV34" s="47"/>
      <c r="TXW34" s="47"/>
      <c r="TXX34" s="47"/>
      <c r="TXY34" s="47"/>
      <c r="TXZ34" s="47"/>
      <c r="TYA34" s="47"/>
      <c r="TYB34" s="47"/>
      <c r="TYC34" s="47"/>
      <c r="TYD34" s="47"/>
      <c r="TYE34" s="47"/>
      <c r="TYF34" s="47"/>
      <c r="TYG34" s="47"/>
      <c r="TYH34" s="47"/>
      <c r="TYI34" s="47"/>
      <c r="TYJ34" s="47"/>
      <c r="TYK34" s="47"/>
      <c r="TYL34" s="47"/>
      <c r="TYM34" s="47"/>
      <c r="TYN34" s="47"/>
      <c r="TYO34" s="47"/>
      <c r="TYP34" s="47"/>
      <c r="TYQ34" s="47"/>
      <c r="TYR34" s="47"/>
      <c r="TYS34" s="47"/>
      <c r="TYT34" s="47"/>
      <c r="TYU34" s="47"/>
      <c r="TYV34" s="47"/>
      <c r="TYW34" s="47"/>
      <c r="TYX34" s="47"/>
      <c r="TYY34" s="47"/>
      <c r="TYZ34" s="47"/>
      <c r="TZA34" s="47"/>
      <c r="TZB34" s="47"/>
      <c r="TZC34" s="47"/>
      <c r="TZD34" s="47"/>
      <c r="TZE34" s="47"/>
      <c r="TZF34" s="47"/>
      <c r="TZG34" s="47"/>
      <c r="TZH34" s="47"/>
      <c r="TZI34" s="47"/>
      <c r="TZJ34" s="47"/>
      <c r="TZK34" s="47"/>
      <c r="TZL34" s="47"/>
      <c r="TZM34" s="47"/>
      <c r="TZN34" s="47"/>
      <c r="TZO34" s="47"/>
      <c r="TZP34" s="47"/>
      <c r="TZQ34" s="47"/>
      <c r="TZR34" s="47"/>
      <c r="TZS34" s="47"/>
      <c r="TZT34" s="47"/>
      <c r="TZU34" s="47"/>
      <c r="TZV34" s="47"/>
      <c r="TZW34" s="47"/>
      <c r="TZX34" s="47"/>
      <c r="TZY34" s="47"/>
      <c r="TZZ34" s="47"/>
      <c r="UAA34" s="47"/>
      <c r="UAB34" s="47"/>
      <c r="UAC34" s="47"/>
      <c r="UAD34" s="47"/>
      <c r="UAE34" s="47"/>
      <c r="UAF34" s="47"/>
      <c r="UAG34" s="47"/>
      <c r="UAH34" s="47"/>
      <c r="UAI34" s="47"/>
      <c r="UAJ34" s="47"/>
      <c r="UAK34" s="47"/>
      <c r="UAL34" s="47"/>
      <c r="UAM34" s="47"/>
      <c r="UAN34" s="47"/>
      <c r="UAO34" s="47"/>
      <c r="UAP34" s="47"/>
      <c r="UAQ34" s="47"/>
      <c r="UAR34" s="47"/>
      <c r="UAS34" s="47"/>
      <c r="UAT34" s="47"/>
      <c r="UAU34" s="47"/>
      <c r="UAV34" s="47"/>
      <c r="UAW34" s="47"/>
      <c r="UAX34" s="47"/>
      <c r="UAY34" s="47"/>
      <c r="UAZ34" s="47"/>
      <c r="UBA34" s="47"/>
      <c r="UBB34" s="47"/>
      <c r="UBC34" s="47"/>
      <c r="UBD34" s="47"/>
      <c r="UBE34" s="47"/>
      <c r="UBF34" s="47"/>
      <c r="UBG34" s="47"/>
      <c r="UBH34" s="47"/>
      <c r="UBI34" s="47"/>
      <c r="UBJ34" s="47"/>
      <c r="UBK34" s="47"/>
      <c r="UBL34" s="47"/>
      <c r="UBM34" s="47"/>
      <c r="UBN34" s="47"/>
      <c r="UBO34" s="47"/>
      <c r="UBP34" s="47"/>
      <c r="UBQ34" s="47"/>
      <c r="UBR34" s="47"/>
      <c r="UBS34" s="47"/>
      <c r="UBT34" s="47"/>
      <c r="UBU34" s="47"/>
      <c r="UBV34" s="47"/>
      <c r="UBW34" s="47"/>
      <c r="UBX34" s="47"/>
      <c r="UBY34" s="47"/>
      <c r="UBZ34" s="47"/>
      <c r="UCA34" s="47"/>
      <c r="UCB34" s="47"/>
      <c r="UCC34" s="47"/>
      <c r="UCD34" s="47"/>
      <c r="UCE34" s="47"/>
      <c r="UCF34" s="47"/>
      <c r="UCG34" s="47"/>
      <c r="UCH34" s="47"/>
      <c r="UCI34" s="47"/>
      <c r="UCJ34" s="47"/>
      <c r="UCK34" s="47"/>
      <c r="UCL34" s="47"/>
      <c r="UCM34" s="47"/>
      <c r="UCN34" s="47"/>
      <c r="UCO34" s="47"/>
      <c r="UCP34" s="47"/>
      <c r="UCQ34" s="47"/>
      <c r="UCR34" s="47"/>
      <c r="UCS34" s="47"/>
      <c r="UCT34" s="47"/>
      <c r="UCU34" s="47"/>
      <c r="UCV34" s="47"/>
      <c r="UCW34" s="47"/>
      <c r="UCX34" s="47"/>
      <c r="UCY34" s="47"/>
      <c r="UCZ34" s="47"/>
      <c r="UDA34" s="47"/>
      <c r="UDB34" s="47"/>
      <c r="UDC34" s="47"/>
      <c r="UDD34" s="47"/>
      <c r="UDE34" s="47"/>
      <c r="UDF34" s="47"/>
      <c r="UDG34" s="47"/>
      <c r="UDH34" s="47"/>
      <c r="UDI34" s="47"/>
      <c r="UDJ34" s="47"/>
      <c r="UDK34" s="47"/>
      <c r="UDL34" s="47"/>
      <c r="UDM34" s="47"/>
      <c r="UDN34" s="47"/>
      <c r="UDO34" s="47"/>
      <c r="UDP34" s="47"/>
      <c r="UDQ34" s="47"/>
      <c r="UDR34" s="47"/>
      <c r="UDS34" s="47"/>
      <c r="UDT34" s="47"/>
      <c r="UDU34" s="47"/>
      <c r="UDV34" s="47"/>
      <c r="UDW34" s="47"/>
      <c r="UDX34" s="47"/>
      <c r="UDY34" s="47"/>
      <c r="UDZ34" s="47"/>
      <c r="UEA34" s="47"/>
      <c r="UEB34" s="47"/>
      <c r="UEC34" s="47"/>
      <c r="UED34" s="47"/>
      <c r="UEE34" s="47"/>
      <c r="UEF34" s="47"/>
      <c r="UEG34" s="47"/>
      <c r="UEH34" s="47"/>
      <c r="UEI34" s="47"/>
      <c r="UEJ34" s="47"/>
      <c r="UEK34" s="47"/>
      <c r="UEL34" s="47"/>
      <c r="UEM34" s="47"/>
      <c r="UEN34" s="47"/>
      <c r="UEO34" s="47"/>
      <c r="UEP34" s="47"/>
      <c r="UEQ34" s="47"/>
      <c r="UER34" s="47"/>
      <c r="UES34" s="47"/>
      <c r="UET34" s="47"/>
      <c r="UEU34" s="47"/>
      <c r="UEV34" s="47"/>
      <c r="UEW34" s="47"/>
      <c r="UEX34" s="47"/>
      <c r="UEY34" s="47"/>
      <c r="UEZ34" s="47"/>
      <c r="UFA34" s="47"/>
      <c r="UFB34" s="47"/>
      <c r="UFC34" s="47"/>
      <c r="UFD34" s="47"/>
      <c r="UFE34" s="47"/>
      <c r="UFF34" s="47"/>
      <c r="UFG34" s="47"/>
      <c r="UFH34" s="47"/>
      <c r="UFI34" s="47"/>
      <c r="UFJ34" s="47"/>
      <c r="UFK34" s="47"/>
      <c r="UFL34" s="47"/>
      <c r="UFM34" s="47"/>
      <c r="UFN34" s="47"/>
      <c r="UFO34" s="47"/>
      <c r="UFP34" s="47"/>
      <c r="UFQ34" s="47"/>
      <c r="UFR34" s="47"/>
      <c r="UFS34" s="47"/>
      <c r="UFT34" s="47"/>
      <c r="UFU34" s="47"/>
      <c r="UFV34" s="47"/>
      <c r="UFW34" s="47"/>
      <c r="UFX34" s="47"/>
      <c r="UFY34" s="47"/>
      <c r="UFZ34" s="47"/>
      <c r="UGA34" s="47"/>
      <c r="UGB34" s="47"/>
      <c r="UGC34" s="47"/>
      <c r="UGD34" s="47"/>
      <c r="UGE34" s="47"/>
      <c r="UGF34" s="47"/>
      <c r="UGG34" s="47"/>
      <c r="UGH34" s="47"/>
      <c r="UGI34" s="47"/>
      <c r="UGJ34" s="47"/>
      <c r="UGK34" s="47"/>
      <c r="UGL34" s="47"/>
      <c r="UGM34" s="47"/>
      <c r="UGN34" s="47"/>
      <c r="UGO34" s="47"/>
      <c r="UGP34" s="47"/>
      <c r="UGQ34" s="47"/>
      <c r="UGR34" s="47"/>
      <c r="UGS34" s="47"/>
      <c r="UGT34" s="47"/>
      <c r="UGU34" s="47"/>
      <c r="UGV34" s="47"/>
      <c r="UGW34" s="47"/>
      <c r="UGX34" s="47"/>
      <c r="UGY34" s="47"/>
      <c r="UGZ34" s="47"/>
      <c r="UHA34" s="47"/>
      <c r="UHB34" s="47"/>
      <c r="UHC34" s="47"/>
      <c r="UHD34" s="47"/>
      <c r="UHE34" s="47"/>
      <c r="UHF34" s="47"/>
      <c r="UHG34" s="47"/>
      <c r="UHH34" s="47"/>
      <c r="UHI34" s="47"/>
      <c r="UHJ34" s="47"/>
      <c r="UHK34" s="47"/>
      <c r="UHL34" s="47"/>
      <c r="UHM34" s="47"/>
      <c r="UHN34" s="47"/>
      <c r="UHO34" s="47"/>
      <c r="UHP34" s="47"/>
      <c r="UHQ34" s="47"/>
      <c r="UHR34" s="47"/>
      <c r="UHS34" s="47"/>
      <c r="UHT34" s="47"/>
      <c r="UHU34" s="47"/>
      <c r="UHV34" s="47"/>
      <c r="UHW34" s="47"/>
      <c r="UHX34" s="47"/>
      <c r="UHY34" s="47"/>
      <c r="UHZ34" s="47"/>
      <c r="UIA34" s="47"/>
      <c r="UIB34" s="47"/>
      <c r="UIC34" s="47"/>
      <c r="UID34" s="47"/>
      <c r="UIE34" s="47"/>
      <c r="UIF34" s="47"/>
      <c r="UIG34" s="47"/>
      <c r="UIH34" s="47"/>
      <c r="UII34" s="47"/>
      <c r="UIJ34" s="47"/>
      <c r="UIK34" s="47"/>
      <c r="UIL34" s="47"/>
      <c r="UIM34" s="47"/>
      <c r="UIN34" s="47"/>
      <c r="UIO34" s="47"/>
      <c r="UIP34" s="47"/>
      <c r="UIQ34" s="47"/>
      <c r="UIR34" s="47"/>
      <c r="UIS34" s="47"/>
      <c r="UIT34" s="47"/>
      <c r="UIU34" s="47"/>
      <c r="UIV34" s="47"/>
      <c r="UIW34" s="47"/>
      <c r="UIX34" s="47"/>
      <c r="UIY34" s="47"/>
      <c r="UIZ34" s="47"/>
      <c r="UJA34" s="47"/>
      <c r="UJB34" s="47"/>
      <c r="UJC34" s="47"/>
      <c r="UJD34" s="47"/>
      <c r="UJE34" s="47"/>
      <c r="UJF34" s="47"/>
      <c r="UJG34" s="47"/>
      <c r="UJH34" s="47"/>
      <c r="UJI34" s="47"/>
      <c r="UJJ34" s="47"/>
      <c r="UJK34" s="47"/>
      <c r="UJL34" s="47"/>
      <c r="UJM34" s="47"/>
      <c r="UJN34" s="47"/>
      <c r="UJO34" s="47"/>
      <c r="UJP34" s="47"/>
      <c r="UJQ34" s="47"/>
      <c r="UJR34" s="47"/>
      <c r="UJS34" s="47"/>
      <c r="UJT34" s="47"/>
      <c r="UJU34" s="47"/>
      <c r="UJV34" s="47"/>
      <c r="UJW34" s="47"/>
      <c r="UJX34" s="47"/>
      <c r="UJY34" s="47"/>
      <c r="UJZ34" s="47"/>
      <c r="UKA34" s="47"/>
      <c r="UKB34" s="47"/>
      <c r="UKC34" s="47"/>
      <c r="UKD34" s="47"/>
      <c r="UKE34" s="47"/>
      <c r="UKF34" s="47"/>
      <c r="UKG34" s="47"/>
      <c r="UKH34" s="47"/>
      <c r="UKI34" s="47"/>
      <c r="UKJ34" s="47"/>
      <c r="UKK34" s="47"/>
      <c r="UKL34" s="47"/>
      <c r="UKM34" s="47"/>
      <c r="UKN34" s="47"/>
      <c r="UKO34" s="47"/>
      <c r="UKP34" s="47"/>
      <c r="UKQ34" s="47"/>
      <c r="UKR34" s="47"/>
      <c r="UKS34" s="47"/>
      <c r="UKT34" s="47"/>
      <c r="UKU34" s="47"/>
      <c r="UKV34" s="47"/>
      <c r="UKW34" s="47"/>
      <c r="UKX34" s="47"/>
      <c r="UKY34" s="47"/>
      <c r="UKZ34" s="47"/>
      <c r="ULA34" s="47"/>
      <c r="ULB34" s="47"/>
      <c r="ULC34" s="47"/>
      <c r="ULD34" s="47"/>
      <c r="ULE34" s="47"/>
      <c r="ULF34" s="47"/>
      <c r="ULG34" s="47"/>
      <c r="ULH34" s="47"/>
      <c r="ULI34" s="47"/>
      <c r="ULJ34" s="47"/>
      <c r="ULK34" s="47"/>
      <c r="ULL34" s="47"/>
      <c r="ULM34" s="47"/>
      <c r="ULN34" s="47"/>
      <c r="ULO34" s="47"/>
      <c r="ULP34" s="47"/>
      <c r="ULQ34" s="47"/>
      <c r="ULR34" s="47"/>
      <c r="ULS34" s="47"/>
      <c r="ULT34" s="47"/>
      <c r="ULU34" s="47"/>
      <c r="ULV34" s="47"/>
      <c r="ULW34" s="47"/>
      <c r="ULX34" s="47"/>
      <c r="ULY34" s="47"/>
      <c r="ULZ34" s="47"/>
      <c r="UMA34" s="47"/>
      <c r="UMB34" s="47"/>
      <c r="UMC34" s="47"/>
      <c r="UMD34" s="47"/>
      <c r="UME34" s="47"/>
      <c r="UMF34" s="47"/>
      <c r="UMG34" s="47"/>
      <c r="UMH34" s="47"/>
      <c r="UMI34" s="47"/>
      <c r="UMJ34" s="47"/>
      <c r="UMK34" s="47"/>
      <c r="UML34" s="47"/>
      <c r="UMM34" s="47"/>
      <c r="UMN34" s="47"/>
      <c r="UMO34" s="47"/>
      <c r="UMP34" s="47"/>
      <c r="UMQ34" s="47"/>
      <c r="UMR34" s="47"/>
      <c r="UMS34" s="47"/>
      <c r="UMT34" s="47"/>
      <c r="UMU34" s="47"/>
      <c r="UMV34" s="47"/>
      <c r="UMW34" s="47"/>
      <c r="UMX34" s="47"/>
      <c r="UMY34" s="47"/>
      <c r="UMZ34" s="47"/>
      <c r="UNA34" s="47"/>
      <c r="UNB34" s="47"/>
      <c r="UNC34" s="47"/>
      <c r="UND34" s="47"/>
      <c r="UNE34" s="47"/>
      <c r="UNF34" s="47"/>
      <c r="UNG34" s="47"/>
      <c r="UNH34" s="47"/>
      <c r="UNI34" s="47"/>
      <c r="UNJ34" s="47"/>
      <c r="UNK34" s="47"/>
      <c r="UNL34" s="47"/>
      <c r="UNM34" s="47"/>
      <c r="UNN34" s="47"/>
      <c r="UNO34" s="47"/>
      <c r="UNP34" s="47"/>
      <c r="UNQ34" s="47"/>
      <c r="UNR34" s="47"/>
      <c r="UNS34" s="47"/>
      <c r="UNT34" s="47"/>
      <c r="UNU34" s="47"/>
      <c r="UNV34" s="47"/>
      <c r="UNW34" s="47"/>
      <c r="UNX34" s="47"/>
      <c r="UNY34" s="47"/>
      <c r="UNZ34" s="47"/>
      <c r="UOA34" s="47"/>
      <c r="UOB34" s="47"/>
      <c r="UOC34" s="47"/>
      <c r="UOD34" s="47"/>
      <c r="UOE34" s="47"/>
      <c r="UOF34" s="47"/>
      <c r="UOG34" s="47"/>
      <c r="UOH34" s="47"/>
      <c r="UOI34" s="47"/>
      <c r="UOJ34" s="47"/>
      <c r="UOK34" s="47"/>
      <c r="UOL34" s="47"/>
      <c r="UOM34" s="47"/>
      <c r="UON34" s="47"/>
      <c r="UOO34" s="47"/>
      <c r="UOP34" s="47"/>
      <c r="UOQ34" s="47"/>
      <c r="UOR34" s="47"/>
      <c r="UOS34" s="47"/>
      <c r="UOT34" s="47"/>
      <c r="UOU34" s="47"/>
      <c r="UOV34" s="47"/>
      <c r="UOW34" s="47"/>
      <c r="UOX34" s="47"/>
      <c r="UOY34" s="47"/>
      <c r="UOZ34" s="47"/>
      <c r="UPA34" s="47"/>
      <c r="UPB34" s="47"/>
      <c r="UPC34" s="47"/>
      <c r="UPD34" s="47"/>
      <c r="UPE34" s="47"/>
      <c r="UPF34" s="47"/>
      <c r="UPG34" s="47"/>
      <c r="UPH34" s="47"/>
      <c r="UPI34" s="47"/>
      <c r="UPJ34" s="47"/>
      <c r="UPK34" s="47"/>
      <c r="UPL34" s="47"/>
      <c r="UPM34" s="47"/>
      <c r="UPN34" s="47"/>
      <c r="UPO34" s="47"/>
      <c r="UPP34" s="47"/>
      <c r="UPQ34" s="47"/>
      <c r="UPR34" s="47"/>
      <c r="UPS34" s="47"/>
      <c r="UPT34" s="47"/>
      <c r="UPU34" s="47"/>
      <c r="UPV34" s="47"/>
      <c r="UPW34" s="47"/>
      <c r="UPX34" s="47"/>
      <c r="UPY34" s="47"/>
      <c r="UPZ34" s="47"/>
      <c r="UQA34" s="47"/>
      <c r="UQB34" s="47"/>
      <c r="UQC34" s="47"/>
      <c r="UQD34" s="47"/>
      <c r="UQE34" s="47"/>
      <c r="UQF34" s="47"/>
      <c r="UQG34" s="47"/>
      <c r="UQH34" s="47"/>
      <c r="UQI34" s="47"/>
      <c r="UQJ34" s="47"/>
      <c r="UQK34" s="47"/>
      <c r="UQL34" s="47"/>
      <c r="UQM34" s="47"/>
      <c r="UQN34" s="47"/>
      <c r="UQO34" s="47"/>
      <c r="UQP34" s="47"/>
      <c r="UQQ34" s="47"/>
      <c r="UQR34" s="47"/>
      <c r="UQS34" s="47"/>
      <c r="UQT34" s="47"/>
      <c r="UQU34" s="47"/>
      <c r="UQV34" s="47"/>
      <c r="UQW34" s="47"/>
      <c r="UQX34" s="47"/>
      <c r="UQY34" s="47"/>
      <c r="UQZ34" s="47"/>
      <c r="URA34" s="47"/>
      <c r="URB34" s="47"/>
      <c r="URC34" s="47"/>
      <c r="URD34" s="47"/>
      <c r="URE34" s="47"/>
      <c r="URF34" s="47"/>
      <c r="URG34" s="47"/>
      <c r="URH34" s="47"/>
      <c r="URI34" s="47"/>
      <c r="URJ34" s="47"/>
      <c r="URK34" s="47"/>
      <c r="URL34" s="47"/>
      <c r="URM34" s="47"/>
      <c r="URN34" s="47"/>
      <c r="URO34" s="47"/>
      <c r="URP34" s="47"/>
      <c r="URQ34" s="47"/>
      <c r="URR34" s="47"/>
      <c r="URS34" s="47"/>
      <c r="URT34" s="47"/>
      <c r="URU34" s="47"/>
      <c r="URV34" s="47"/>
      <c r="URW34" s="47"/>
      <c r="URX34" s="47"/>
      <c r="URY34" s="47"/>
      <c r="URZ34" s="47"/>
      <c r="USA34" s="47"/>
      <c r="USB34" s="47"/>
      <c r="USC34" s="47"/>
      <c r="USD34" s="47"/>
      <c r="USE34" s="47"/>
      <c r="USF34" s="47"/>
      <c r="USG34" s="47"/>
      <c r="USH34" s="47"/>
      <c r="USI34" s="47"/>
      <c r="USJ34" s="47"/>
      <c r="USK34" s="47"/>
      <c r="USL34" s="47"/>
      <c r="USM34" s="47"/>
      <c r="USN34" s="47"/>
      <c r="USO34" s="47"/>
      <c r="USP34" s="47"/>
      <c r="USQ34" s="47"/>
      <c r="USR34" s="47"/>
      <c r="USS34" s="47"/>
      <c r="UST34" s="47"/>
      <c r="USU34" s="47"/>
      <c r="USV34" s="47"/>
      <c r="USW34" s="47"/>
      <c r="USX34" s="47"/>
      <c r="USY34" s="47"/>
      <c r="USZ34" s="47"/>
      <c r="UTA34" s="47"/>
      <c r="UTB34" s="47"/>
      <c r="UTC34" s="47"/>
      <c r="UTD34" s="47"/>
      <c r="UTE34" s="47"/>
      <c r="UTF34" s="47"/>
      <c r="UTG34" s="47"/>
      <c r="UTH34" s="47"/>
      <c r="UTI34" s="47"/>
      <c r="UTJ34" s="47"/>
      <c r="UTK34" s="47"/>
      <c r="UTL34" s="47"/>
      <c r="UTM34" s="47"/>
      <c r="UTN34" s="47"/>
      <c r="UTO34" s="47"/>
      <c r="UTP34" s="47"/>
      <c r="UTQ34" s="47"/>
      <c r="UTR34" s="47"/>
      <c r="UTS34" s="47"/>
      <c r="UTT34" s="47"/>
      <c r="UTU34" s="47"/>
      <c r="UTV34" s="47"/>
      <c r="UTW34" s="47"/>
      <c r="UTX34" s="47"/>
      <c r="UTY34" s="47"/>
      <c r="UTZ34" s="47"/>
      <c r="UUA34" s="47"/>
      <c r="UUB34" s="47"/>
      <c r="UUC34" s="47"/>
      <c r="UUD34" s="47"/>
      <c r="UUE34" s="47"/>
      <c r="UUF34" s="47"/>
      <c r="UUG34" s="47"/>
      <c r="UUH34" s="47"/>
      <c r="UUI34" s="47"/>
      <c r="UUJ34" s="47"/>
      <c r="UUK34" s="47"/>
      <c r="UUL34" s="47"/>
      <c r="UUM34" s="47"/>
      <c r="UUN34" s="47"/>
      <c r="UUO34" s="47"/>
      <c r="UUP34" s="47"/>
      <c r="UUQ34" s="47"/>
      <c r="UUR34" s="47"/>
      <c r="UUS34" s="47"/>
      <c r="UUT34" s="47"/>
      <c r="UUU34" s="47"/>
      <c r="UUV34" s="47"/>
      <c r="UUW34" s="47"/>
      <c r="UUX34" s="47"/>
      <c r="UUY34" s="47"/>
      <c r="UUZ34" s="47"/>
      <c r="UVA34" s="47"/>
      <c r="UVB34" s="47"/>
      <c r="UVC34" s="47"/>
      <c r="UVD34" s="47"/>
      <c r="UVE34" s="47"/>
      <c r="UVF34" s="47"/>
      <c r="UVG34" s="47"/>
      <c r="UVH34" s="47"/>
      <c r="UVI34" s="47"/>
      <c r="UVJ34" s="47"/>
      <c r="UVK34" s="47"/>
      <c r="UVL34" s="47"/>
      <c r="UVM34" s="47"/>
      <c r="UVN34" s="47"/>
      <c r="UVO34" s="47"/>
      <c r="UVP34" s="47"/>
      <c r="UVQ34" s="47"/>
      <c r="UVR34" s="47"/>
      <c r="UVS34" s="47"/>
      <c r="UVT34" s="47"/>
      <c r="UVU34" s="47"/>
      <c r="UVV34" s="47"/>
      <c r="UVW34" s="47"/>
      <c r="UVX34" s="47"/>
      <c r="UVY34" s="47"/>
      <c r="UVZ34" s="47"/>
      <c r="UWA34" s="47"/>
      <c r="UWB34" s="47"/>
      <c r="UWC34" s="47"/>
      <c r="UWD34" s="47"/>
      <c r="UWE34" s="47"/>
      <c r="UWF34" s="47"/>
      <c r="UWG34" s="47"/>
      <c r="UWH34" s="47"/>
      <c r="UWI34" s="47"/>
      <c r="UWJ34" s="47"/>
      <c r="UWK34" s="47"/>
      <c r="UWL34" s="47"/>
      <c r="UWM34" s="47"/>
      <c r="UWN34" s="47"/>
      <c r="UWO34" s="47"/>
      <c r="UWP34" s="47"/>
      <c r="UWQ34" s="47"/>
      <c r="UWR34" s="47"/>
      <c r="UWS34" s="47"/>
      <c r="UWT34" s="47"/>
      <c r="UWU34" s="47"/>
      <c r="UWV34" s="47"/>
      <c r="UWW34" s="47"/>
      <c r="UWX34" s="47"/>
      <c r="UWY34" s="47"/>
      <c r="UWZ34" s="47"/>
      <c r="UXA34" s="47"/>
      <c r="UXB34" s="47"/>
      <c r="UXC34" s="47"/>
      <c r="UXD34" s="47"/>
      <c r="UXE34" s="47"/>
      <c r="UXF34" s="47"/>
      <c r="UXG34" s="47"/>
      <c r="UXH34" s="47"/>
      <c r="UXI34" s="47"/>
      <c r="UXJ34" s="47"/>
      <c r="UXK34" s="47"/>
      <c r="UXL34" s="47"/>
      <c r="UXM34" s="47"/>
      <c r="UXN34" s="47"/>
      <c r="UXO34" s="47"/>
      <c r="UXP34" s="47"/>
      <c r="UXQ34" s="47"/>
      <c r="UXR34" s="47"/>
      <c r="UXS34" s="47"/>
      <c r="UXT34" s="47"/>
      <c r="UXU34" s="47"/>
      <c r="UXV34" s="47"/>
      <c r="UXW34" s="47"/>
      <c r="UXX34" s="47"/>
      <c r="UXY34" s="47"/>
      <c r="UXZ34" s="47"/>
      <c r="UYA34" s="47"/>
      <c r="UYB34" s="47"/>
      <c r="UYC34" s="47"/>
      <c r="UYD34" s="47"/>
      <c r="UYE34" s="47"/>
      <c r="UYF34" s="47"/>
      <c r="UYG34" s="47"/>
      <c r="UYH34" s="47"/>
      <c r="UYI34" s="47"/>
      <c r="UYJ34" s="47"/>
      <c r="UYK34" s="47"/>
      <c r="UYL34" s="47"/>
      <c r="UYM34" s="47"/>
      <c r="UYN34" s="47"/>
      <c r="UYO34" s="47"/>
      <c r="UYP34" s="47"/>
      <c r="UYQ34" s="47"/>
      <c r="UYR34" s="47"/>
      <c r="UYS34" s="47"/>
      <c r="UYT34" s="47"/>
      <c r="UYU34" s="47"/>
      <c r="UYV34" s="47"/>
      <c r="UYW34" s="47"/>
      <c r="UYX34" s="47"/>
      <c r="UYY34" s="47"/>
      <c r="UYZ34" s="47"/>
      <c r="UZA34" s="47"/>
      <c r="UZB34" s="47"/>
      <c r="UZC34" s="47"/>
      <c r="UZD34" s="47"/>
      <c r="UZE34" s="47"/>
      <c r="UZF34" s="47"/>
      <c r="UZG34" s="47"/>
      <c r="UZH34" s="47"/>
      <c r="UZI34" s="47"/>
      <c r="UZJ34" s="47"/>
      <c r="UZK34" s="47"/>
      <c r="UZL34" s="47"/>
      <c r="UZM34" s="47"/>
      <c r="UZN34" s="47"/>
      <c r="UZO34" s="47"/>
      <c r="UZP34" s="47"/>
      <c r="UZQ34" s="47"/>
      <c r="UZR34" s="47"/>
      <c r="UZS34" s="47"/>
      <c r="UZT34" s="47"/>
      <c r="UZU34" s="47"/>
      <c r="UZV34" s="47"/>
      <c r="UZW34" s="47"/>
      <c r="UZX34" s="47"/>
      <c r="UZY34" s="47"/>
      <c r="UZZ34" s="47"/>
      <c r="VAA34" s="47"/>
      <c r="VAB34" s="47"/>
      <c r="VAC34" s="47"/>
      <c r="VAD34" s="47"/>
      <c r="VAE34" s="47"/>
      <c r="VAF34" s="47"/>
      <c r="VAG34" s="47"/>
      <c r="VAH34" s="47"/>
      <c r="VAI34" s="47"/>
      <c r="VAJ34" s="47"/>
      <c r="VAK34" s="47"/>
      <c r="VAL34" s="47"/>
      <c r="VAM34" s="47"/>
      <c r="VAN34" s="47"/>
      <c r="VAO34" s="47"/>
      <c r="VAP34" s="47"/>
      <c r="VAQ34" s="47"/>
      <c r="VAR34" s="47"/>
      <c r="VAS34" s="47"/>
      <c r="VAT34" s="47"/>
      <c r="VAU34" s="47"/>
      <c r="VAV34" s="47"/>
      <c r="VAW34" s="47"/>
      <c r="VAX34" s="47"/>
      <c r="VAY34" s="47"/>
      <c r="VAZ34" s="47"/>
      <c r="VBA34" s="47"/>
      <c r="VBB34" s="47"/>
      <c r="VBC34" s="47"/>
      <c r="VBD34" s="47"/>
      <c r="VBE34" s="47"/>
      <c r="VBF34" s="47"/>
      <c r="VBG34" s="47"/>
      <c r="VBH34" s="47"/>
      <c r="VBI34" s="47"/>
      <c r="VBJ34" s="47"/>
      <c r="VBK34" s="47"/>
      <c r="VBL34" s="47"/>
      <c r="VBM34" s="47"/>
      <c r="VBN34" s="47"/>
      <c r="VBO34" s="47"/>
      <c r="VBP34" s="47"/>
      <c r="VBQ34" s="47"/>
      <c r="VBR34" s="47"/>
      <c r="VBS34" s="47"/>
      <c r="VBT34" s="47"/>
      <c r="VBU34" s="47"/>
      <c r="VBV34" s="47"/>
      <c r="VBW34" s="47"/>
      <c r="VBX34" s="47"/>
      <c r="VBY34" s="47"/>
      <c r="VBZ34" s="47"/>
      <c r="VCA34" s="47"/>
      <c r="VCB34" s="47"/>
      <c r="VCC34" s="47"/>
      <c r="VCD34" s="47"/>
      <c r="VCE34" s="47"/>
      <c r="VCF34" s="47"/>
      <c r="VCG34" s="47"/>
      <c r="VCH34" s="47"/>
      <c r="VCI34" s="47"/>
      <c r="VCJ34" s="47"/>
      <c r="VCK34" s="47"/>
      <c r="VCL34" s="47"/>
      <c r="VCM34" s="47"/>
      <c r="VCN34" s="47"/>
      <c r="VCO34" s="47"/>
      <c r="VCP34" s="47"/>
      <c r="VCQ34" s="47"/>
      <c r="VCR34" s="47"/>
      <c r="VCS34" s="47"/>
      <c r="VCT34" s="47"/>
      <c r="VCU34" s="47"/>
      <c r="VCV34" s="47"/>
      <c r="VCW34" s="47"/>
      <c r="VCX34" s="47"/>
      <c r="VCY34" s="47"/>
      <c r="VCZ34" s="47"/>
      <c r="VDA34" s="47"/>
      <c r="VDB34" s="47"/>
      <c r="VDC34" s="47"/>
      <c r="VDD34" s="47"/>
      <c r="VDE34" s="47"/>
      <c r="VDF34" s="47"/>
      <c r="VDG34" s="47"/>
      <c r="VDH34" s="47"/>
      <c r="VDI34" s="47"/>
      <c r="VDJ34" s="47"/>
      <c r="VDK34" s="47"/>
      <c r="VDL34" s="47"/>
      <c r="VDM34" s="47"/>
      <c r="VDN34" s="47"/>
      <c r="VDO34" s="47"/>
      <c r="VDP34" s="47"/>
      <c r="VDQ34" s="47"/>
      <c r="VDR34" s="47"/>
      <c r="VDS34" s="47"/>
      <c r="VDT34" s="47"/>
      <c r="VDU34" s="47"/>
      <c r="VDV34" s="47"/>
      <c r="VDW34" s="47"/>
      <c r="VDX34" s="47"/>
      <c r="VDY34" s="47"/>
      <c r="VDZ34" s="47"/>
      <c r="VEA34" s="47"/>
      <c r="VEB34" s="47"/>
      <c r="VEC34" s="47"/>
      <c r="VED34" s="47"/>
      <c r="VEE34" s="47"/>
      <c r="VEF34" s="47"/>
      <c r="VEG34" s="47"/>
      <c r="VEH34" s="47"/>
      <c r="VEI34" s="47"/>
      <c r="VEJ34" s="47"/>
      <c r="VEK34" s="47"/>
      <c r="VEL34" s="47"/>
      <c r="VEM34" s="47"/>
      <c r="VEN34" s="47"/>
      <c r="VEO34" s="47"/>
      <c r="VEP34" s="47"/>
      <c r="VEQ34" s="47"/>
      <c r="VER34" s="47"/>
      <c r="VES34" s="47"/>
      <c r="VET34" s="47"/>
      <c r="VEU34" s="47"/>
      <c r="VEV34" s="47"/>
      <c r="VEW34" s="47"/>
      <c r="VEX34" s="47"/>
      <c r="VEY34" s="47"/>
      <c r="VEZ34" s="47"/>
      <c r="VFA34" s="47"/>
      <c r="VFB34" s="47"/>
      <c r="VFC34" s="47"/>
      <c r="VFD34" s="47"/>
      <c r="VFE34" s="47"/>
      <c r="VFF34" s="47"/>
      <c r="VFG34" s="47"/>
      <c r="VFH34" s="47"/>
      <c r="VFI34" s="47"/>
      <c r="VFJ34" s="47"/>
      <c r="VFK34" s="47"/>
      <c r="VFL34" s="47"/>
      <c r="VFM34" s="47"/>
      <c r="VFN34" s="47"/>
      <c r="VFO34" s="47"/>
      <c r="VFP34" s="47"/>
      <c r="VFQ34" s="47"/>
      <c r="VFR34" s="47"/>
      <c r="VFS34" s="47"/>
      <c r="VFT34" s="47"/>
      <c r="VFU34" s="47"/>
      <c r="VFV34" s="47"/>
      <c r="VFW34" s="47"/>
      <c r="VFX34" s="47"/>
      <c r="VFY34" s="47"/>
      <c r="VFZ34" s="47"/>
      <c r="VGA34" s="47"/>
      <c r="VGB34" s="47"/>
      <c r="VGC34" s="47"/>
      <c r="VGD34" s="47"/>
      <c r="VGE34" s="47"/>
      <c r="VGF34" s="47"/>
      <c r="VGG34" s="47"/>
      <c r="VGH34" s="47"/>
      <c r="VGI34" s="47"/>
      <c r="VGJ34" s="47"/>
      <c r="VGK34" s="47"/>
      <c r="VGL34" s="47"/>
      <c r="VGM34" s="47"/>
      <c r="VGN34" s="47"/>
      <c r="VGO34" s="47"/>
      <c r="VGP34" s="47"/>
      <c r="VGQ34" s="47"/>
      <c r="VGR34" s="47"/>
      <c r="VGS34" s="47"/>
      <c r="VGT34" s="47"/>
      <c r="VGU34" s="47"/>
      <c r="VGV34" s="47"/>
      <c r="VGW34" s="47"/>
      <c r="VGX34" s="47"/>
      <c r="VGY34" s="47"/>
      <c r="VGZ34" s="47"/>
      <c r="VHA34" s="47"/>
      <c r="VHB34" s="47"/>
      <c r="VHC34" s="47"/>
      <c r="VHD34" s="47"/>
      <c r="VHE34" s="47"/>
      <c r="VHF34" s="47"/>
      <c r="VHG34" s="47"/>
      <c r="VHH34" s="47"/>
      <c r="VHI34" s="47"/>
      <c r="VHJ34" s="47"/>
      <c r="VHK34" s="47"/>
      <c r="VHL34" s="47"/>
      <c r="VHM34" s="47"/>
      <c r="VHN34" s="47"/>
      <c r="VHO34" s="47"/>
      <c r="VHP34" s="47"/>
      <c r="VHQ34" s="47"/>
      <c r="VHR34" s="47"/>
      <c r="VHS34" s="47"/>
      <c r="VHT34" s="47"/>
      <c r="VHU34" s="47"/>
      <c r="VHV34" s="47"/>
      <c r="VHW34" s="47"/>
      <c r="VHX34" s="47"/>
      <c r="VHY34" s="47"/>
      <c r="VHZ34" s="47"/>
      <c r="VIA34" s="47"/>
      <c r="VIB34" s="47"/>
      <c r="VIC34" s="47"/>
      <c r="VID34" s="47"/>
      <c r="VIE34" s="47"/>
      <c r="VIF34" s="47"/>
      <c r="VIG34" s="47"/>
      <c r="VIH34" s="47"/>
      <c r="VII34" s="47"/>
      <c r="VIJ34" s="47"/>
      <c r="VIK34" s="47"/>
      <c r="VIL34" s="47"/>
      <c r="VIM34" s="47"/>
      <c r="VIN34" s="47"/>
      <c r="VIO34" s="47"/>
      <c r="VIP34" s="47"/>
      <c r="VIQ34" s="47"/>
      <c r="VIR34" s="47"/>
      <c r="VIS34" s="47"/>
      <c r="VIT34" s="47"/>
      <c r="VIU34" s="47"/>
      <c r="VIV34" s="47"/>
      <c r="VIW34" s="47"/>
      <c r="VIX34" s="47"/>
      <c r="VIY34" s="47"/>
      <c r="VIZ34" s="47"/>
      <c r="VJA34" s="47"/>
      <c r="VJB34" s="47"/>
      <c r="VJC34" s="47"/>
      <c r="VJD34" s="47"/>
      <c r="VJE34" s="47"/>
      <c r="VJF34" s="47"/>
      <c r="VJG34" s="47"/>
      <c r="VJH34" s="47"/>
      <c r="VJI34" s="47"/>
      <c r="VJJ34" s="47"/>
      <c r="VJK34" s="47"/>
      <c r="VJL34" s="47"/>
      <c r="VJM34" s="47"/>
      <c r="VJN34" s="47"/>
      <c r="VJO34" s="47"/>
      <c r="VJP34" s="47"/>
      <c r="VJQ34" s="47"/>
      <c r="VJR34" s="47"/>
      <c r="VJS34" s="47"/>
      <c r="VJT34" s="47"/>
      <c r="VJU34" s="47"/>
      <c r="VJV34" s="47"/>
      <c r="VJW34" s="47"/>
      <c r="VJX34" s="47"/>
      <c r="VJY34" s="47"/>
      <c r="VJZ34" s="47"/>
      <c r="VKA34" s="47"/>
      <c r="VKB34" s="47"/>
      <c r="VKC34" s="47"/>
      <c r="VKD34" s="47"/>
      <c r="VKE34" s="47"/>
      <c r="VKF34" s="47"/>
      <c r="VKG34" s="47"/>
      <c r="VKH34" s="47"/>
      <c r="VKI34" s="47"/>
      <c r="VKJ34" s="47"/>
      <c r="VKK34" s="47"/>
      <c r="VKL34" s="47"/>
      <c r="VKM34" s="47"/>
      <c r="VKN34" s="47"/>
      <c r="VKO34" s="47"/>
      <c r="VKP34" s="47"/>
      <c r="VKQ34" s="47"/>
      <c r="VKR34" s="47"/>
      <c r="VKS34" s="47"/>
      <c r="VKT34" s="47"/>
      <c r="VKU34" s="47"/>
      <c r="VKV34" s="47"/>
      <c r="VKW34" s="47"/>
      <c r="VKX34" s="47"/>
      <c r="VKY34" s="47"/>
      <c r="VKZ34" s="47"/>
      <c r="VLA34" s="47"/>
      <c r="VLB34" s="47"/>
      <c r="VLC34" s="47"/>
      <c r="VLD34" s="47"/>
      <c r="VLE34" s="47"/>
      <c r="VLF34" s="47"/>
      <c r="VLG34" s="47"/>
      <c r="VLH34" s="47"/>
      <c r="VLI34" s="47"/>
      <c r="VLJ34" s="47"/>
      <c r="VLK34" s="47"/>
      <c r="VLL34" s="47"/>
      <c r="VLM34" s="47"/>
      <c r="VLN34" s="47"/>
      <c r="VLO34" s="47"/>
      <c r="VLP34" s="47"/>
      <c r="VLQ34" s="47"/>
      <c r="VLR34" s="47"/>
      <c r="VLS34" s="47"/>
      <c r="VLT34" s="47"/>
      <c r="VLU34" s="47"/>
      <c r="VLV34" s="47"/>
      <c r="VLW34" s="47"/>
      <c r="VLX34" s="47"/>
      <c r="VLY34" s="47"/>
      <c r="VLZ34" s="47"/>
      <c r="VMA34" s="47"/>
      <c r="VMB34" s="47"/>
      <c r="VMC34" s="47"/>
      <c r="VMD34" s="47"/>
      <c r="VME34" s="47"/>
      <c r="VMF34" s="47"/>
      <c r="VMG34" s="47"/>
      <c r="VMH34" s="47"/>
      <c r="VMI34" s="47"/>
      <c r="VMJ34" s="47"/>
      <c r="VMK34" s="47"/>
      <c r="VML34" s="47"/>
      <c r="VMM34" s="47"/>
      <c r="VMN34" s="47"/>
      <c r="VMO34" s="47"/>
      <c r="VMP34" s="47"/>
      <c r="VMQ34" s="47"/>
      <c r="VMR34" s="47"/>
      <c r="VMS34" s="47"/>
      <c r="VMT34" s="47"/>
      <c r="VMU34" s="47"/>
      <c r="VMV34" s="47"/>
      <c r="VMW34" s="47"/>
      <c r="VMX34" s="47"/>
      <c r="VMY34" s="47"/>
      <c r="VMZ34" s="47"/>
      <c r="VNA34" s="47"/>
      <c r="VNB34" s="47"/>
      <c r="VNC34" s="47"/>
      <c r="VND34" s="47"/>
      <c r="VNE34" s="47"/>
      <c r="VNF34" s="47"/>
      <c r="VNG34" s="47"/>
      <c r="VNH34" s="47"/>
      <c r="VNI34" s="47"/>
      <c r="VNJ34" s="47"/>
      <c r="VNK34" s="47"/>
      <c r="VNL34" s="47"/>
      <c r="VNM34" s="47"/>
      <c r="VNN34" s="47"/>
      <c r="VNO34" s="47"/>
      <c r="VNP34" s="47"/>
      <c r="VNQ34" s="47"/>
      <c r="VNR34" s="47"/>
      <c r="VNS34" s="47"/>
      <c r="VNT34" s="47"/>
      <c r="VNU34" s="47"/>
      <c r="VNV34" s="47"/>
      <c r="VNW34" s="47"/>
      <c r="VNX34" s="47"/>
      <c r="VNY34" s="47"/>
      <c r="VNZ34" s="47"/>
      <c r="VOA34" s="47"/>
      <c r="VOB34" s="47"/>
      <c r="VOC34" s="47"/>
      <c r="VOD34" s="47"/>
      <c r="VOE34" s="47"/>
      <c r="VOF34" s="47"/>
      <c r="VOG34" s="47"/>
      <c r="VOH34" s="47"/>
      <c r="VOI34" s="47"/>
      <c r="VOJ34" s="47"/>
      <c r="VOK34" s="47"/>
      <c r="VOL34" s="47"/>
      <c r="VOM34" s="47"/>
      <c r="VON34" s="47"/>
      <c r="VOO34" s="47"/>
      <c r="VOP34" s="47"/>
      <c r="VOQ34" s="47"/>
      <c r="VOR34" s="47"/>
      <c r="VOS34" s="47"/>
      <c r="VOT34" s="47"/>
      <c r="VOU34" s="47"/>
      <c r="VOV34" s="47"/>
      <c r="VOW34" s="47"/>
      <c r="VOX34" s="47"/>
      <c r="VOY34" s="47"/>
      <c r="VOZ34" s="47"/>
      <c r="VPA34" s="47"/>
      <c r="VPB34" s="47"/>
      <c r="VPC34" s="47"/>
      <c r="VPD34" s="47"/>
      <c r="VPE34" s="47"/>
      <c r="VPF34" s="47"/>
      <c r="VPG34" s="47"/>
      <c r="VPH34" s="47"/>
      <c r="VPI34" s="47"/>
      <c r="VPJ34" s="47"/>
      <c r="VPK34" s="47"/>
      <c r="VPL34" s="47"/>
      <c r="VPM34" s="47"/>
      <c r="VPN34" s="47"/>
      <c r="VPO34" s="47"/>
      <c r="VPP34" s="47"/>
      <c r="VPQ34" s="47"/>
      <c r="VPR34" s="47"/>
      <c r="VPS34" s="47"/>
      <c r="VPT34" s="47"/>
      <c r="VPU34" s="47"/>
      <c r="VPV34" s="47"/>
      <c r="VPW34" s="47"/>
      <c r="VPX34" s="47"/>
      <c r="VPY34" s="47"/>
      <c r="VPZ34" s="47"/>
      <c r="VQA34" s="47"/>
      <c r="VQB34" s="47"/>
      <c r="VQC34" s="47"/>
      <c r="VQD34" s="47"/>
      <c r="VQE34" s="47"/>
      <c r="VQF34" s="47"/>
      <c r="VQG34" s="47"/>
      <c r="VQH34" s="47"/>
      <c r="VQI34" s="47"/>
      <c r="VQJ34" s="47"/>
      <c r="VQK34" s="47"/>
      <c r="VQL34" s="47"/>
      <c r="VQM34" s="47"/>
      <c r="VQN34" s="47"/>
      <c r="VQO34" s="47"/>
      <c r="VQP34" s="47"/>
      <c r="VQQ34" s="47"/>
      <c r="VQR34" s="47"/>
      <c r="VQS34" s="47"/>
      <c r="VQT34" s="47"/>
      <c r="VQU34" s="47"/>
      <c r="VQV34" s="47"/>
      <c r="VQW34" s="47"/>
      <c r="VQX34" s="47"/>
      <c r="VQY34" s="47"/>
      <c r="VQZ34" s="47"/>
      <c r="VRA34" s="47"/>
      <c r="VRB34" s="47"/>
      <c r="VRC34" s="47"/>
      <c r="VRD34" s="47"/>
      <c r="VRE34" s="47"/>
      <c r="VRF34" s="47"/>
      <c r="VRG34" s="47"/>
      <c r="VRH34" s="47"/>
      <c r="VRI34" s="47"/>
      <c r="VRJ34" s="47"/>
      <c r="VRK34" s="47"/>
      <c r="VRL34" s="47"/>
      <c r="VRM34" s="47"/>
      <c r="VRN34" s="47"/>
      <c r="VRO34" s="47"/>
      <c r="VRP34" s="47"/>
      <c r="VRQ34" s="47"/>
      <c r="VRR34" s="47"/>
      <c r="VRS34" s="47"/>
      <c r="VRT34" s="47"/>
      <c r="VRU34" s="47"/>
      <c r="VRV34" s="47"/>
      <c r="VRW34" s="47"/>
      <c r="VRX34" s="47"/>
      <c r="VRY34" s="47"/>
      <c r="VRZ34" s="47"/>
      <c r="VSA34" s="47"/>
      <c r="VSB34" s="47"/>
      <c r="VSC34" s="47"/>
      <c r="VSD34" s="47"/>
      <c r="VSE34" s="47"/>
      <c r="VSF34" s="47"/>
      <c r="VSG34" s="47"/>
      <c r="VSH34" s="47"/>
      <c r="VSI34" s="47"/>
      <c r="VSJ34" s="47"/>
      <c r="VSK34" s="47"/>
      <c r="VSL34" s="47"/>
      <c r="VSM34" s="47"/>
      <c r="VSN34" s="47"/>
      <c r="VSO34" s="47"/>
      <c r="VSP34" s="47"/>
      <c r="VSQ34" s="47"/>
      <c r="VSR34" s="47"/>
      <c r="VSS34" s="47"/>
      <c r="VST34" s="47"/>
      <c r="VSU34" s="47"/>
      <c r="VSV34" s="47"/>
      <c r="VSW34" s="47"/>
      <c r="VSX34" s="47"/>
      <c r="VSY34" s="47"/>
      <c r="VSZ34" s="47"/>
      <c r="VTA34" s="47"/>
      <c r="VTB34" s="47"/>
      <c r="VTC34" s="47"/>
      <c r="VTD34" s="47"/>
      <c r="VTE34" s="47"/>
      <c r="VTF34" s="47"/>
      <c r="VTG34" s="47"/>
      <c r="VTH34" s="47"/>
      <c r="VTI34" s="47"/>
      <c r="VTJ34" s="47"/>
      <c r="VTK34" s="47"/>
      <c r="VTL34" s="47"/>
      <c r="VTM34" s="47"/>
      <c r="VTN34" s="47"/>
      <c r="VTO34" s="47"/>
      <c r="VTP34" s="47"/>
      <c r="VTQ34" s="47"/>
      <c r="VTR34" s="47"/>
      <c r="VTS34" s="47"/>
      <c r="VTT34" s="47"/>
      <c r="VTU34" s="47"/>
      <c r="VTV34" s="47"/>
      <c r="VTW34" s="47"/>
      <c r="VTX34" s="47"/>
      <c r="VTY34" s="47"/>
      <c r="VTZ34" s="47"/>
      <c r="VUA34" s="47"/>
      <c r="VUB34" s="47"/>
      <c r="VUC34" s="47"/>
      <c r="VUD34" s="47"/>
      <c r="VUE34" s="47"/>
      <c r="VUF34" s="47"/>
      <c r="VUG34" s="47"/>
      <c r="VUH34" s="47"/>
      <c r="VUI34" s="47"/>
      <c r="VUJ34" s="47"/>
      <c r="VUK34" s="47"/>
      <c r="VUL34" s="47"/>
      <c r="VUM34" s="47"/>
      <c r="VUN34" s="47"/>
      <c r="VUO34" s="47"/>
      <c r="VUP34" s="47"/>
      <c r="VUQ34" s="47"/>
      <c r="VUR34" s="47"/>
      <c r="VUS34" s="47"/>
      <c r="VUT34" s="47"/>
      <c r="VUU34" s="47"/>
      <c r="VUV34" s="47"/>
      <c r="VUW34" s="47"/>
      <c r="VUX34" s="47"/>
      <c r="VUY34" s="47"/>
      <c r="VUZ34" s="47"/>
      <c r="VVA34" s="47"/>
      <c r="VVB34" s="47"/>
      <c r="VVC34" s="47"/>
      <c r="VVD34" s="47"/>
      <c r="VVE34" s="47"/>
      <c r="VVF34" s="47"/>
      <c r="VVG34" s="47"/>
      <c r="VVH34" s="47"/>
      <c r="VVI34" s="47"/>
      <c r="VVJ34" s="47"/>
      <c r="VVK34" s="47"/>
      <c r="VVL34" s="47"/>
      <c r="VVM34" s="47"/>
      <c r="VVN34" s="47"/>
      <c r="VVO34" s="47"/>
      <c r="VVP34" s="47"/>
      <c r="VVQ34" s="47"/>
      <c r="VVR34" s="47"/>
      <c r="VVS34" s="47"/>
      <c r="VVT34" s="47"/>
      <c r="VVU34" s="47"/>
      <c r="VVV34" s="47"/>
      <c r="VVW34" s="47"/>
      <c r="VVX34" s="47"/>
      <c r="VVY34" s="47"/>
      <c r="VVZ34" s="47"/>
      <c r="VWA34" s="47"/>
      <c r="VWB34" s="47"/>
      <c r="VWC34" s="47"/>
      <c r="VWD34" s="47"/>
      <c r="VWE34" s="47"/>
      <c r="VWF34" s="47"/>
      <c r="VWG34" s="47"/>
      <c r="VWH34" s="47"/>
      <c r="VWI34" s="47"/>
      <c r="VWJ34" s="47"/>
      <c r="VWK34" s="47"/>
      <c r="VWL34" s="47"/>
      <c r="VWM34" s="47"/>
      <c r="VWN34" s="47"/>
      <c r="VWO34" s="47"/>
      <c r="VWP34" s="47"/>
      <c r="VWQ34" s="47"/>
      <c r="VWR34" s="47"/>
      <c r="VWS34" s="47"/>
      <c r="VWT34" s="47"/>
      <c r="VWU34" s="47"/>
      <c r="VWV34" s="47"/>
      <c r="VWW34" s="47"/>
      <c r="VWX34" s="47"/>
      <c r="VWY34" s="47"/>
      <c r="VWZ34" s="47"/>
      <c r="VXA34" s="47"/>
      <c r="VXB34" s="47"/>
      <c r="VXC34" s="47"/>
      <c r="VXD34" s="47"/>
      <c r="VXE34" s="47"/>
      <c r="VXF34" s="47"/>
      <c r="VXG34" s="47"/>
      <c r="VXH34" s="47"/>
      <c r="VXI34" s="47"/>
      <c r="VXJ34" s="47"/>
      <c r="VXK34" s="47"/>
      <c r="VXL34" s="47"/>
      <c r="VXM34" s="47"/>
      <c r="VXN34" s="47"/>
      <c r="VXO34" s="47"/>
      <c r="VXP34" s="47"/>
      <c r="VXQ34" s="47"/>
      <c r="VXR34" s="47"/>
      <c r="VXS34" s="47"/>
      <c r="VXT34" s="47"/>
      <c r="VXU34" s="47"/>
      <c r="VXV34" s="47"/>
      <c r="VXW34" s="47"/>
      <c r="VXX34" s="47"/>
      <c r="VXY34" s="47"/>
      <c r="VXZ34" s="47"/>
      <c r="VYA34" s="47"/>
      <c r="VYB34" s="47"/>
      <c r="VYC34" s="47"/>
      <c r="VYD34" s="47"/>
      <c r="VYE34" s="47"/>
      <c r="VYF34" s="47"/>
      <c r="VYG34" s="47"/>
      <c r="VYH34" s="47"/>
      <c r="VYI34" s="47"/>
      <c r="VYJ34" s="47"/>
      <c r="VYK34" s="47"/>
      <c r="VYL34" s="47"/>
      <c r="VYM34" s="47"/>
      <c r="VYN34" s="47"/>
      <c r="VYO34" s="47"/>
      <c r="VYP34" s="47"/>
      <c r="VYQ34" s="47"/>
      <c r="VYR34" s="47"/>
      <c r="VYS34" s="47"/>
      <c r="VYT34" s="47"/>
      <c r="VYU34" s="47"/>
      <c r="VYV34" s="47"/>
      <c r="VYW34" s="47"/>
      <c r="VYX34" s="47"/>
      <c r="VYY34" s="47"/>
      <c r="VYZ34" s="47"/>
      <c r="VZA34" s="47"/>
      <c r="VZB34" s="47"/>
      <c r="VZC34" s="47"/>
      <c r="VZD34" s="47"/>
      <c r="VZE34" s="47"/>
      <c r="VZF34" s="47"/>
      <c r="VZG34" s="47"/>
      <c r="VZH34" s="47"/>
      <c r="VZI34" s="47"/>
      <c r="VZJ34" s="47"/>
      <c r="VZK34" s="47"/>
      <c r="VZL34" s="47"/>
      <c r="VZM34" s="47"/>
      <c r="VZN34" s="47"/>
      <c r="VZO34" s="47"/>
      <c r="VZP34" s="47"/>
      <c r="VZQ34" s="47"/>
      <c r="VZR34" s="47"/>
      <c r="VZS34" s="47"/>
      <c r="VZT34" s="47"/>
      <c r="VZU34" s="47"/>
      <c r="VZV34" s="47"/>
      <c r="VZW34" s="47"/>
      <c r="VZX34" s="47"/>
      <c r="VZY34" s="47"/>
      <c r="VZZ34" s="47"/>
      <c r="WAA34" s="47"/>
      <c r="WAB34" s="47"/>
      <c r="WAC34" s="47"/>
      <c r="WAD34" s="47"/>
      <c r="WAE34" s="47"/>
      <c r="WAF34" s="47"/>
      <c r="WAG34" s="47"/>
      <c r="WAH34" s="47"/>
      <c r="WAI34" s="47"/>
      <c r="WAJ34" s="47"/>
      <c r="WAK34" s="47"/>
      <c r="WAL34" s="47"/>
      <c r="WAM34" s="47"/>
      <c r="WAN34" s="47"/>
      <c r="WAO34" s="47"/>
      <c r="WAP34" s="47"/>
      <c r="WAQ34" s="47"/>
      <c r="WAR34" s="47"/>
      <c r="WAS34" s="47"/>
      <c r="WAT34" s="47"/>
      <c r="WAU34" s="47"/>
      <c r="WAV34" s="47"/>
      <c r="WAW34" s="47"/>
      <c r="WAX34" s="47"/>
      <c r="WAY34" s="47"/>
      <c r="WAZ34" s="47"/>
      <c r="WBA34" s="47"/>
      <c r="WBB34" s="47"/>
      <c r="WBC34" s="47"/>
      <c r="WBD34" s="47"/>
      <c r="WBE34" s="47"/>
      <c r="WBF34" s="47"/>
      <c r="WBG34" s="47"/>
      <c r="WBH34" s="47"/>
      <c r="WBI34" s="47"/>
      <c r="WBJ34" s="47"/>
      <c r="WBK34" s="47"/>
      <c r="WBL34" s="47"/>
      <c r="WBM34" s="47"/>
      <c r="WBN34" s="47"/>
      <c r="WBO34" s="47"/>
      <c r="WBP34" s="47"/>
      <c r="WBQ34" s="47"/>
      <c r="WBR34" s="47"/>
      <c r="WBS34" s="47"/>
      <c r="WBT34" s="47"/>
      <c r="WBU34" s="47"/>
      <c r="WBV34" s="47"/>
      <c r="WBW34" s="47"/>
      <c r="WBX34" s="47"/>
      <c r="WBY34" s="47"/>
      <c r="WBZ34" s="47"/>
      <c r="WCA34" s="47"/>
      <c r="WCB34" s="47"/>
      <c r="WCC34" s="47"/>
      <c r="WCD34" s="47"/>
      <c r="WCE34" s="47"/>
      <c r="WCF34" s="47"/>
      <c r="WCG34" s="47"/>
      <c r="WCH34" s="47"/>
      <c r="WCI34" s="47"/>
      <c r="WCJ34" s="47"/>
      <c r="WCK34" s="47"/>
      <c r="WCL34" s="47"/>
      <c r="WCM34" s="47"/>
      <c r="WCN34" s="47"/>
      <c r="WCO34" s="47"/>
      <c r="WCP34" s="47"/>
      <c r="WCQ34" s="47"/>
      <c r="WCR34" s="47"/>
      <c r="WCS34" s="47"/>
      <c r="WCT34" s="47"/>
      <c r="WCU34" s="47"/>
      <c r="WCV34" s="47"/>
      <c r="WCW34" s="47"/>
      <c r="WCX34" s="47"/>
      <c r="WCY34" s="47"/>
      <c r="WCZ34" s="47"/>
      <c r="WDA34" s="47"/>
      <c r="WDB34" s="47"/>
      <c r="WDC34" s="47"/>
      <c r="WDD34" s="47"/>
      <c r="WDE34" s="47"/>
      <c r="WDF34" s="47"/>
      <c r="WDG34" s="47"/>
      <c r="WDH34" s="47"/>
      <c r="WDI34" s="47"/>
      <c r="WDJ34" s="47"/>
      <c r="WDK34" s="47"/>
      <c r="WDL34" s="47"/>
      <c r="WDM34" s="47"/>
      <c r="WDN34" s="47"/>
      <c r="WDO34" s="47"/>
      <c r="WDP34" s="47"/>
      <c r="WDQ34" s="47"/>
      <c r="WDR34" s="47"/>
      <c r="WDS34" s="47"/>
      <c r="WDT34" s="47"/>
      <c r="WDU34" s="47"/>
      <c r="WDV34" s="47"/>
      <c r="WDW34" s="47"/>
      <c r="WDX34" s="47"/>
      <c r="WDY34" s="47"/>
      <c r="WDZ34" s="47"/>
      <c r="WEA34" s="47"/>
      <c r="WEB34" s="47"/>
      <c r="WEC34" s="47"/>
      <c r="WED34" s="47"/>
      <c r="WEE34" s="47"/>
      <c r="WEF34" s="47"/>
      <c r="WEG34" s="47"/>
      <c r="WEH34" s="47"/>
      <c r="WEI34" s="47"/>
      <c r="WEJ34" s="47"/>
      <c r="WEK34" s="47"/>
      <c r="WEL34" s="47"/>
      <c r="WEM34" s="47"/>
      <c r="WEN34" s="47"/>
      <c r="WEO34" s="47"/>
      <c r="WEP34" s="47"/>
      <c r="WEQ34" s="47"/>
      <c r="WER34" s="47"/>
      <c r="WES34" s="47"/>
      <c r="WET34" s="47"/>
      <c r="WEU34" s="47"/>
      <c r="WEV34" s="47"/>
      <c r="WEW34" s="47"/>
      <c r="WEX34" s="47"/>
      <c r="WEY34" s="47"/>
      <c r="WEZ34" s="47"/>
      <c r="WFA34" s="47"/>
      <c r="WFB34" s="47"/>
      <c r="WFC34" s="47"/>
      <c r="WFD34" s="47"/>
      <c r="WFE34" s="47"/>
      <c r="WFF34" s="47"/>
      <c r="WFG34" s="47"/>
      <c r="WFH34" s="47"/>
      <c r="WFI34" s="47"/>
      <c r="WFJ34" s="47"/>
      <c r="WFK34" s="47"/>
      <c r="WFL34" s="47"/>
      <c r="WFM34" s="47"/>
      <c r="WFN34" s="47"/>
      <c r="WFO34" s="47"/>
      <c r="WFP34" s="47"/>
      <c r="WFQ34" s="47"/>
      <c r="WFR34" s="47"/>
      <c r="WFS34" s="47"/>
      <c r="WFT34" s="47"/>
      <c r="WFU34" s="47"/>
      <c r="WFV34" s="47"/>
      <c r="WFW34" s="47"/>
      <c r="WFX34" s="47"/>
      <c r="WFY34" s="47"/>
      <c r="WFZ34" s="47"/>
      <c r="WGA34" s="47"/>
      <c r="WGB34" s="47"/>
      <c r="WGC34" s="47"/>
      <c r="WGD34" s="47"/>
      <c r="WGE34" s="47"/>
      <c r="WGF34" s="47"/>
      <c r="WGG34" s="47"/>
      <c r="WGH34" s="47"/>
      <c r="WGI34" s="47"/>
      <c r="WGJ34" s="47"/>
      <c r="WGK34" s="47"/>
      <c r="WGL34" s="47"/>
      <c r="WGM34" s="47"/>
      <c r="WGN34" s="47"/>
      <c r="WGO34" s="47"/>
      <c r="WGP34" s="47"/>
      <c r="WGQ34" s="47"/>
      <c r="WGR34" s="47"/>
      <c r="WGS34" s="47"/>
      <c r="WGT34" s="47"/>
      <c r="WGU34" s="47"/>
      <c r="WGV34" s="47"/>
      <c r="WGW34" s="47"/>
      <c r="WGX34" s="47"/>
      <c r="WGY34" s="47"/>
      <c r="WGZ34" s="47"/>
      <c r="WHA34" s="47"/>
      <c r="WHB34" s="47"/>
      <c r="WHC34" s="47"/>
      <c r="WHD34" s="47"/>
      <c r="WHE34" s="47"/>
      <c r="WHF34" s="47"/>
      <c r="WHG34" s="47"/>
      <c r="WHH34" s="47"/>
      <c r="WHI34" s="47"/>
      <c r="WHJ34" s="47"/>
      <c r="WHK34" s="47"/>
      <c r="WHL34" s="47"/>
      <c r="WHM34" s="47"/>
      <c r="WHN34" s="47"/>
      <c r="WHO34" s="47"/>
      <c r="WHP34" s="47"/>
      <c r="WHQ34" s="47"/>
      <c r="WHR34" s="47"/>
      <c r="WHS34" s="47"/>
      <c r="WHT34" s="47"/>
      <c r="WHU34" s="47"/>
      <c r="WHV34" s="47"/>
      <c r="WHW34" s="47"/>
      <c r="WHX34" s="47"/>
      <c r="WHY34" s="47"/>
      <c r="WHZ34" s="47"/>
      <c r="WIA34" s="47"/>
      <c r="WIB34" s="47"/>
      <c r="WIC34" s="47"/>
      <c r="WID34" s="47"/>
      <c r="WIE34" s="47"/>
      <c r="WIF34" s="47"/>
      <c r="WIG34" s="47"/>
      <c r="WIH34" s="47"/>
      <c r="WII34" s="47"/>
      <c r="WIJ34" s="47"/>
      <c r="WIK34" s="47"/>
      <c r="WIL34" s="47"/>
      <c r="WIM34" s="47"/>
      <c r="WIN34" s="47"/>
      <c r="WIO34" s="47"/>
      <c r="WIP34" s="47"/>
      <c r="WIQ34" s="47"/>
      <c r="WIR34" s="47"/>
      <c r="WIS34" s="47"/>
      <c r="WIT34" s="47"/>
      <c r="WIU34" s="47"/>
      <c r="WIV34" s="47"/>
      <c r="WIW34" s="47"/>
      <c r="WIX34" s="47"/>
      <c r="WIY34" s="47"/>
      <c r="WIZ34" s="47"/>
      <c r="WJA34" s="47"/>
      <c r="WJB34" s="47"/>
      <c r="WJC34" s="47"/>
      <c r="WJD34" s="47"/>
      <c r="WJE34" s="47"/>
      <c r="WJF34" s="47"/>
      <c r="WJG34" s="47"/>
      <c r="WJH34" s="47"/>
      <c r="WJI34" s="47"/>
      <c r="WJJ34" s="47"/>
      <c r="WJK34" s="47"/>
      <c r="WJL34" s="47"/>
      <c r="WJM34" s="47"/>
      <c r="WJN34" s="47"/>
      <c r="WJO34" s="47"/>
      <c r="WJP34" s="47"/>
      <c r="WJQ34" s="47"/>
      <c r="WJR34" s="47"/>
      <c r="WJS34" s="47"/>
      <c r="WJT34" s="47"/>
      <c r="WJU34" s="47"/>
      <c r="WJV34" s="47"/>
      <c r="WJW34" s="47"/>
      <c r="WJX34" s="47"/>
      <c r="WJY34" s="47"/>
      <c r="WJZ34" s="47"/>
      <c r="WKA34" s="47"/>
      <c r="WKB34" s="47"/>
      <c r="WKC34" s="47"/>
      <c r="WKD34" s="47"/>
      <c r="WKE34" s="47"/>
      <c r="WKF34" s="47"/>
      <c r="WKG34" s="47"/>
      <c r="WKH34" s="47"/>
      <c r="WKI34" s="47"/>
      <c r="WKJ34" s="47"/>
      <c r="WKK34" s="47"/>
      <c r="WKL34" s="47"/>
      <c r="WKM34" s="47"/>
      <c r="WKN34" s="47"/>
      <c r="WKO34" s="47"/>
      <c r="WKP34" s="47"/>
      <c r="WKQ34" s="47"/>
      <c r="WKR34" s="47"/>
      <c r="WKS34" s="47"/>
      <c r="WKT34" s="47"/>
      <c r="WKU34" s="47"/>
      <c r="WKV34" s="47"/>
      <c r="WKW34" s="47"/>
      <c r="WKX34" s="47"/>
      <c r="WKY34" s="47"/>
      <c r="WKZ34" s="47"/>
      <c r="WLA34" s="47"/>
      <c r="WLB34" s="47"/>
      <c r="WLC34" s="47"/>
      <c r="WLD34" s="47"/>
      <c r="WLE34" s="47"/>
      <c r="WLF34" s="47"/>
      <c r="WLG34" s="47"/>
      <c r="WLH34" s="47"/>
      <c r="WLI34" s="47"/>
      <c r="WLJ34" s="47"/>
      <c r="WLK34" s="47"/>
      <c r="WLL34" s="47"/>
      <c r="WLM34" s="47"/>
      <c r="WLN34" s="47"/>
      <c r="WLO34" s="47"/>
      <c r="WLP34" s="47"/>
      <c r="WLQ34" s="47"/>
      <c r="WLR34" s="47"/>
      <c r="WLS34" s="47"/>
      <c r="WLT34" s="47"/>
      <c r="WLU34" s="47"/>
      <c r="WLV34" s="47"/>
      <c r="WLW34" s="47"/>
      <c r="WLX34" s="47"/>
      <c r="WLY34" s="47"/>
      <c r="WLZ34" s="47"/>
      <c r="WMA34" s="47"/>
      <c r="WMB34" s="47"/>
      <c r="WMC34" s="47"/>
      <c r="WMD34" s="47"/>
      <c r="WME34" s="47"/>
      <c r="WMF34" s="47"/>
      <c r="WMG34" s="47"/>
      <c r="WMH34" s="47"/>
      <c r="WMI34" s="47"/>
      <c r="WMJ34" s="47"/>
      <c r="WMK34" s="47"/>
      <c r="WML34" s="47"/>
      <c r="WMM34" s="47"/>
      <c r="WMN34" s="47"/>
      <c r="WMO34" s="47"/>
      <c r="WMP34" s="47"/>
      <c r="WMQ34" s="47"/>
      <c r="WMR34" s="47"/>
      <c r="WMS34" s="47"/>
      <c r="WMT34" s="47"/>
      <c r="WMU34" s="47"/>
      <c r="WMV34" s="47"/>
      <c r="WMW34" s="47"/>
      <c r="WMX34" s="47"/>
      <c r="WMY34" s="47"/>
      <c r="WMZ34" s="47"/>
      <c r="WNA34" s="47"/>
      <c r="WNB34" s="47"/>
      <c r="WNC34" s="47"/>
      <c r="WND34" s="47"/>
      <c r="WNE34" s="47"/>
      <c r="WNF34" s="47"/>
      <c r="WNG34" s="47"/>
      <c r="WNH34" s="47"/>
      <c r="WNI34" s="47"/>
      <c r="WNJ34" s="47"/>
      <c r="WNK34" s="47"/>
      <c r="WNL34" s="47"/>
      <c r="WNM34" s="47"/>
      <c r="WNN34" s="47"/>
      <c r="WNO34" s="47"/>
      <c r="WNP34" s="47"/>
      <c r="WNQ34" s="47"/>
      <c r="WNR34" s="47"/>
      <c r="WNS34" s="47"/>
      <c r="WNT34" s="47"/>
      <c r="WNU34" s="47"/>
      <c r="WNV34" s="47"/>
      <c r="WNW34" s="47"/>
      <c r="WNX34" s="47"/>
      <c r="WNY34" s="47"/>
      <c r="WNZ34" s="47"/>
      <c r="WOA34" s="47"/>
      <c r="WOB34" s="47"/>
      <c r="WOC34" s="47"/>
      <c r="WOD34" s="47"/>
      <c r="WOE34" s="47"/>
      <c r="WOF34" s="47"/>
      <c r="WOG34" s="47"/>
      <c r="WOH34" s="47"/>
      <c r="WOI34" s="47"/>
      <c r="WOJ34" s="47"/>
      <c r="WOK34" s="47"/>
      <c r="WOL34" s="47"/>
      <c r="WOM34" s="47"/>
      <c r="WON34" s="47"/>
      <c r="WOO34" s="47"/>
      <c r="WOP34" s="47"/>
      <c r="WOQ34" s="47"/>
      <c r="WOR34" s="47"/>
      <c r="WOS34" s="47"/>
      <c r="WOT34" s="47"/>
      <c r="WOU34" s="47"/>
      <c r="WOV34" s="47"/>
      <c r="WOW34" s="47"/>
      <c r="WOX34" s="47"/>
      <c r="WOY34" s="47"/>
      <c r="WOZ34" s="47"/>
      <c r="WPA34" s="47"/>
      <c r="WPB34" s="47"/>
      <c r="WPC34" s="47"/>
      <c r="WPD34" s="47"/>
      <c r="WPE34" s="47"/>
      <c r="WPF34" s="47"/>
      <c r="WPG34" s="47"/>
      <c r="WPH34" s="47"/>
      <c r="WPI34" s="47"/>
      <c r="WPJ34" s="47"/>
      <c r="WPK34" s="47"/>
      <c r="WPL34" s="47"/>
      <c r="WPM34" s="47"/>
      <c r="WPN34" s="47"/>
      <c r="WPO34" s="47"/>
      <c r="WPP34" s="47"/>
      <c r="WPQ34" s="47"/>
      <c r="WPR34" s="47"/>
      <c r="WPS34" s="47"/>
      <c r="WPT34" s="47"/>
      <c r="WPU34" s="47"/>
      <c r="WPV34" s="47"/>
      <c r="WPW34" s="47"/>
      <c r="WPX34" s="47"/>
      <c r="WPY34" s="47"/>
      <c r="WPZ34" s="47"/>
      <c r="WQA34" s="47"/>
      <c r="WQB34" s="47"/>
      <c r="WQC34" s="47"/>
      <c r="WQD34" s="47"/>
      <c r="WQE34" s="47"/>
      <c r="WQF34" s="47"/>
      <c r="WQG34" s="47"/>
      <c r="WQH34" s="47"/>
      <c r="WQI34" s="47"/>
      <c r="WQJ34" s="47"/>
      <c r="WQK34" s="47"/>
      <c r="WQL34" s="47"/>
      <c r="WQM34" s="47"/>
      <c r="WQN34" s="47"/>
      <c r="WQO34" s="47"/>
      <c r="WQP34" s="47"/>
      <c r="WQQ34" s="47"/>
      <c r="WQR34" s="47"/>
      <c r="WQS34" s="47"/>
      <c r="WQT34" s="47"/>
      <c r="WQU34" s="47"/>
      <c r="WQV34" s="47"/>
      <c r="WQW34" s="47"/>
      <c r="WQX34" s="47"/>
      <c r="WQY34" s="47"/>
      <c r="WQZ34" s="47"/>
      <c r="WRA34" s="47"/>
      <c r="WRB34" s="47"/>
      <c r="WRC34" s="47"/>
      <c r="WRD34" s="47"/>
      <c r="WRE34" s="47"/>
      <c r="WRF34" s="47"/>
      <c r="WRG34" s="47"/>
      <c r="WRH34" s="47"/>
      <c r="WRI34" s="47"/>
      <c r="WRJ34" s="47"/>
      <c r="WRK34" s="47"/>
      <c r="WRL34" s="47"/>
      <c r="WRM34" s="47"/>
      <c r="WRN34" s="47"/>
      <c r="WRO34" s="47"/>
      <c r="WRP34" s="47"/>
      <c r="WRQ34" s="47"/>
      <c r="WRR34" s="47"/>
      <c r="WRS34" s="47"/>
      <c r="WRT34" s="47"/>
      <c r="WRU34" s="47"/>
      <c r="WRV34" s="47"/>
      <c r="WRW34" s="47"/>
      <c r="WRX34" s="47"/>
      <c r="WRY34" s="47"/>
      <c r="WRZ34" s="47"/>
      <c r="WSA34" s="47"/>
      <c r="WSB34" s="47"/>
      <c r="WSC34" s="47"/>
      <c r="WSD34" s="47"/>
      <c r="WSE34" s="47"/>
      <c r="WSF34" s="47"/>
      <c r="WSG34" s="47"/>
      <c r="WSH34" s="47"/>
      <c r="WSI34" s="47"/>
      <c r="WSJ34" s="47"/>
      <c r="WSK34" s="47"/>
      <c r="WSL34" s="47"/>
      <c r="WSM34" s="47"/>
      <c r="WSN34" s="47"/>
      <c r="WSO34" s="47"/>
      <c r="WSP34" s="47"/>
      <c r="WSQ34" s="47"/>
      <c r="WSR34" s="47"/>
      <c r="WSS34" s="47"/>
      <c r="WST34" s="47"/>
      <c r="WSU34" s="47"/>
      <c r="WSV34" s="47"/>
      <c r="WSW34" s="47"/>
      <c r="WSX34" s="47"/>
      <c r="WSY34" s="47"/>
      <c r="WSZ34" s="47"/>
      <c r="WTA34" s="47"/>
      <c r="WTB34" s="47"/>
      <c r="WTC34" s="47"/>
      <c r="WTD34" s="47"/>
      <c r="WTE34" s="47"/>
      <c r="WTF34" s="47"/>
      <c r="WTG34" s="47"/>
      <c r="WTH34" s="47"/>
      <c r="WTI34" s="47"/>
      <c r="WTJ34" s="47"/>
      <c r="WTK34" s="47"/>
      <c r="WTL34" s="47"/>
      <c r="WTM34" s="47"/>
      <c r="WTN34" s="47"/>
      <c r="WTO34" s="47"/>
      <c r="WTP34" s="47"/>
      <c r="WTQ34" s="47"/>
      <c r="WTR34" s="47"/>
      <c r="WTS34" s="47"/>
      <c r="WTT34" s="47"/>
      <c r="WTU34" s="47"/>
      <c r="WTV34" s="47"/>
      <c r="WTW34" s="47"/>
      <c r="WTX34" s="47"/>
      <c r="WTY34" s="47"/>
      <c r="WTZ34" s="47"/>
      <c r="WUA34" s="47"/>
      <c r="WUB34" s="47"/>
      <c r="WUC34" s="47"/>
      <c r="WUD34" s="47"/>
      <c r="WUE34" s="47"/>
      <c r="WUF34" s="47"/>
      <c r="WUG34" s="47"/>
      <c r="WUH34" s="47"/>
      <c r="WUI34" s="47"/>
      <c r="WUJ34" s="47"/>
      <c r="WUK34" s="47"/>
      <c r="WUL34" s="47"/>
      <c r="WUM34" s="47"/>
      <c r="WUN34" s="47"/>
      <c r="WUO34" s="47"/>
      <c r="WUP34" s="47"/>
      <c r="WUQ34" s="47"/>
      <c r="WUR34" s="47"/>
      <c r="WUS34" s="47"/>
      <c r="WUT34" s="47"/>
      <c r="WUU34" s="47"/>
      <c r="WUV34" s="47"/>
      <c r="WUW34" s="47"/>
      <c r="WUX34" s="47"/>
      <c r="WUY34" s="47"/>
      <c r="WUZ34" s="47"/>
      <c r="WVA34" s="47"/>
      <c r="WVB34" s="47"/>
      <c r="WVC34" s="47"/>
      <c r="WVD34" s="47"/>
      <c r="WVE34" s="47"/>
      <c r="WVF34" s="47"/>
      <c r="WVG34" s="47"/>
      <c r="WVH34" s="47"/>
      <c r="WVI34" s="47"/>
      <c r="WVJ34" s="47"/>
      <c r="WVK34" s="47"/>
      <c r="WVL34" s="47"/>
      <c r="WVM34" s="47"/>
      <c r="WVN34" s="47"/>
      <c r="WVO34" s="47"/>
      <c r="WVP34" s="47"/>
      <c r="WVQ34" s="47"/>
      <c r="WVR34" s="47"/>
      <c r="WVS34" s="47"/>
      <c r="WVT34" s="47"/>
      <c r="WVU34" s="47"/>
      <c r="WVV34" s="47"/>
      <c r="WVW34" s="47"/>
      <c r="WVX34" s="47"/>
      <c r="WVY34" s="47"/>
      <c r="WVZ34" s="47"/>
      <c r="WWA34" s="47"/>
      <c r="WWB34" s="47"/>
      <c r="WWC34" s="47"/>
      <c r="WWD34" s="47"/>
      <c r="WWE34" s="47"/>
      <c r="WWF34" s="47"/>
      <c r="WWG34" s="47"/>
      <c r="WWH34" s="47"/>
      <c r="WWI34" s="47"/>
      <c r="WWJ34" s="47"/>
      <c r="WWK34" s="47"/>
      <c r="WWL34" s="47"/>
      <c r="WWM34" s="47"/>
      <c r="WWN34" s="47"/>
      <c r="WWO34" s="47"/>
      <c r="WWP34" s="47"/>
      <c r="WWQ34" s="47"/>
      <c r="WWR34" s="47"/>
      <c r="WWS34" s="47"/>
      <c r="WWT34" s="47"/>
      <c r="WWU34" s="47"/>
      <c r="WWV34" s="47"/>
      <c r="WWW34" s="47"/>
      <c r="WWX34" s="47"/>
      <c r="WWY34" s="47"/>
      <c r="WWZ34" s="47"/>
      <c r="WXA34" s="47"/>
      <c r="WXB34" s="47"/>
      <c r="WXC34" s="47"/>
      <c r="WXD34" s="47"/>
      <c r="WXE34" s="47"/>
      <c r="WXF34" s="47"/>
      <c r="WXG34" s="47"/>
      <c r="WXH34" s="47"/>
      <c r="WXI34" s="47"/>
      <c r="WXJ34" s="47"/>
      <c r="WXK34" s="47"/>
      <c r="WXL34" s="47"/>
      <c r="WXM34" s="47"/>
      <c r="WXN34" s="47"/>
      <c r="WXO34" s="47"/>
      <c r="WXP34" s="47"/>
      <c r="WXQ34" s="47"/>
      <c r="WXR34" s="47"/>
      <c r="WXS34" s="47"/>
      <c r="WXT34" s="47"/>
      <c r="WXU34" s="47"/>
      <c r="WXV34" s="47"/>
      <c r="WXW34" s="47"/>
      <c r="WXX34" s="47"/>
      <c r="WXY34" s="47"/>
      <c r="WXZ34" s="47"/>
      <c r="WYA34" s="47"/>
      <c r="WYB34" s="47"/>
      <c r="WYC34" s="47"/>
      <c r="WYD34" s="47"/>
      <c r="WYE34" s="47"/>
      <c r="WYF34" s="47"/>
      <c r="WYG34" s="47"/>
      <c r="WYH34" s="47"/>
      <c r="WYI34" s="47"/>
      <c r="WYJ34" s="47"/>
      <c r="WYK34" s="47"/>
      <c r="WYL34" s="47"/>
      <c r="WYM34" s="47"/>
      <c r="WYN34" s="47"/>
      <c r="WYO34" s="47"/>
      <c r="WYP34" s="47"/>
      <c r="WYQ34" s="47"/>
      <c r="WYR34" s="47"/>
      <c r="WYS34" s="47"/>
      <c r="WYT34" s="47"/>
      <c r="WYU34" s="47"/>
      <c r="WYV34" s="47"/>
      <c r="WYW34" s="47"/>
      <c r="WYX34" s="47"/>
      <c r="WYY34" s="47"/>
      <c r="WYZ34" s="47"/>
      <c r="WZA34" s="47"/>
      <c r="WZB34" s="47"/>
      <c r="WZC34" s="47"/>
      <c r="WZD34" s="47"/>
      <c r="WZE34" s="47"/>
      <c r="WZF34" s="47"/>
      <c r="WZG34" s="47"/>
      <c r="WZH34" s="47"/>
      <c r="WZI34" s="47"/>
      <c r="WZJ34" s="47"/>
      <c r="WZK34" s="47"/>
      <c r="WZL34" s="47"/>
      <c r="WZM34" s="47"/>
      <c r="WZN34" s="47"/>
      <c r="WZO34" s="47"/>
      <c r="WZP34" s="47"/>
      <c r="WZQ34" s="47"/>
      <c r="WZR34" s="47"/>
      <c r="WZS34" s="47"/>
      <c r="WZT34" s="47"/>
      <c r="WZU34" s="47"/>
      <c r="WZV34" s="47"/>
      <c r="WZW34" s="47"/>
      <c r="WZX34" s="47"/>
      <c r="WZY34" s="47"/>
      <c r="WZZ34" s="47"/>
      <c r="XAA34" s="47"/>
      <c r="XAB34" s="47"/>
      <c r="XAC34" s="47"/>
      <c r="XAD34" s="47"/>
      <c r="XAE34" s="47"/>
      <c r="XAF34" s="47"/>
      <c r="XAG34" s="47"/>
      <c r="XAH34" s="47"/>
      <c r="XAI34" s="47"/>
      <c r="XAJ34" s="47"/>
      <c r="XAK34" s="47"/>
      <c r="XAL34" s="47"/>
      <c r="XAM34" s="47"/>
      <c r="XAN34" s="47"/>
      <c r="XAO34" s="47"/>
      <c r="XAP34" s="47"/>
      <c r="XAQ34" s="47"/>
      <c r="XAR34" s="47"/>
      <c r="XAS34" s="47"/>
      <c r="XAT34" s="47"/>
      <c r="XAU34" s="47"/>
      <c r="XAV34" s="47"/>
      <c r="XAW34" s="47"/>
      <c r="XAX34" s="47"/>
      <c r="XAY34" s="47"/>
      <c r="XAZ34" s="47"/>
      <c r="XBA34" s="47"/>
      <c r="XBB34" s="47"/>
      <c r="XBC34" s="47"/>
      <c r="XBD34" s="47"/>
      <c r="XBE34" s="47"/>
      <c r="XBF34" s="47"/>
      <c r="XBG34" s="47"/>
      <c r="XBH34" s="47"/>
      <c r="XBI34" s="47"/>
      <c r="XBJ34" s="47"/>
      <c r="XBK34" s="47"/>
      <c r="XBL34" s="47"/>
      <c r="XBM34" s="47"/>
      <c r="XBN34" s="47"/>
      <c r="XBO34" s="47"/>
      <c r="XBP34" s="47"/>
      <c r="XBQ34" s="47"/>
      <c r="XBR34" s="47"/>
      <c r="XBS34" s="47"/>
      <c r="XBT34" s="47"/>
      <c r="XBU34" s="47"/>
      <c r="XBV34" s="47"/>
      <c r="XBW34" s="47"/>
      <c r="XBX34" s="47"/>
      <c r="XBY34" s="47"/>
      <c r="XBZ34" s="47"/>
      <c r="XCA34" s="47"/>
      <c r="XCB34" s="47"/>
      <c r="XCC34" s="47"/>
      <c r="XCD34" s="47"/>
      <c r="XCE34" s="47"/>
      <c r="XCF34" s="47"/>
      <c r="XCG34" s="47"/>
      <c r="XCH34" s="47"/>
      <c r="XCI34" s="47"/>
      <c r="XCJ34" s="47"/>
      <c r="XCK34" s="47"/>
      <c r="XCL34" s="47"/>
      <c r="XCM34" s="47"/>
      <c r="XCN34" s="47"/>
      <c r="XCO34" s="47"/>
      <c r="XCP34" s="47"/>
      <c r="XCQ34" s="47"/>
      <c r="XCR34" s="47"/>
      <c r="XCS34" s="47"/>
      <c r="XCT34" s="47"/>
      <c r="XCU34" s="47"/>
      <c r="XCV34" s="47"/>
      <c r="XCW34" s="47"/>
      <c r="XCX34" s="47"/>
      <c r="XCY34" s="47"/>
      <c r="XCZ34" s="47"/>
      <c r="XDA34" s="47"/>
      <c r="XDB34" s="47"/>
      <c r="XDC34" s="47"/>
      <c r="XDD34" s="47"/>
      <c r="XDE34" s="47"/>
      <c r="XDF34" s="47"/>
      <c r="XDG34" s="47"/>
      <c r="XDH34" s="47"/>
      <c r="XDI34" s="47"/>
      <c r="XDJ34" s="47"/>
      <c r="XDK34" s="47"/>
      <c r="XDL34" s="47"/>
      <c r="XDM34" s="47"/>
      <c r="XDN34" s="47"/>
      <c r="XDO34" s="47"/>
      <c r="XDP34" s="47"/>
      <c r="XDQ34" s="47"/>
      <c r="XDR34" s="47"/>
      <c r="XDS34" s="47"/>
      <c r="XDT34" s="47"/>
      <c r="XDU34" s="47"/>
      <c r="XDV34" s="47"/>
      <c r="XDW34" s="47"/>
      <c r="XDX34" s="47"/>
      <c r="XDY34" s="47"/>
      <c r="XDZ34" s="47"/>
      <c r="XEA34" s="47"/>
      <c r="XEB34" s="47"/>
      <c r="XEC34" s="47"/>
      <c r="XED34" s="47"/>
      <c r="XEE34" s="47"/>
      <c r="XEF34" s="47"/>
      <c r="XEG34" s="47"/>
      <c r="XEH34" s="47"/>
      <c r="XEI34" s="47"/>
      <c r="XEJ34" s="47"/>
      <c r="XEK34" s="47"/>
      <c r="XEL34" s="47"/>
      <c r="XEM34" s="47"/>
      <c r="XEN34" s="47"/>
      <c r="XEO34" s="47"/>
      <c r="XEP34" s="47"/>
      <c r="XEQ34" s="47"/>
      <c r="XER34" s="47"/>
      <c r="XES34" s="47"/>
      <c r="XET34" s="47"/>
      <c r="XEU34" s="47"/>
      <c r="XEV34" s="47"/>
      <c r="XEW34" s="47"/>
      <c r="XEX34" s="47"/>
      <c r="XEY34" s="47"/>
      <c r="XEZ34" s="47"/>
      <c r="XFA34" s="47"/>
      <c r="XFB34" s="47"/>
      <c r="XFC34" s="47"/>
      <c r="XFD34" s="47"/>
    </row>
    <row r="35" spans="1:16384" customFormat="1" x14ac:dyDescent="0.25">
      <c r="A35" s="47"/>
      <c r="B35" s="47"/>
      <c r="C35" s="47"/>
      <c r="D35" s="47"/>
      <c r="E35" s="47"/>
      <c r="F35" s="47"/>
      <c r="G35" s="47"/>
      <c r="H35" s="47"/>
      <c r="I35" s="47"/>
      <c r="J35" s="47"/>
    </row>
    <row r="36" spans="1:16384" x14ac:dyDescent="0.25">
      <c r="A36" s="47"/>
      <c r="B36" s="47"/>
      <c r="C36" s="47"/>
      <c r="D36" s="47"/>
      <c r="E36" s="47"/>
      <c r="F36" s="47"/>
      <c r="G36" s="47"/>
      <c r="H36" s="47"/>
      <c r="I36" s="47"/>
      <c r="J36" s="47"/>
    </row>
    <row r="37" spans="1:16384" ht="23.25" x14ac:dyDescent="0.35">
      <c r="A37" s="47"/>
      <c r="B37" s="47"/>
      <c r="D37" s="47"/>
      <c r="E37" s="56"/>
      <c r="F37" s="47"/>
      <c r="H37" s="47"/>
      <c r="I37" s="47"/>
      <c r="J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c r="DQ37" s="47"/>
      <c r="DR37" s="47"/>
      <c r="DS37" s="47"/>
      <c r="DT37" s="47"/>
      <c r="DU37" s="47"/>
      <c r="DV37" s="47"/>
      <c r="DW37" s="47"/>
      <c r="DX37" s="47"/>
      <c r="DY37" s="47"/>
      <c r="DZ37" s="47"/>
      <c r="EA37" s="47"/>
      <c r="EB37" s="47"/>
      <c r="EC37" s="47"/>
      <c r="ED37" s="47"/>
      <c r="EE37" s="47"/>
      <c r="EF37" s="47"/>
      <c r="EG37" s="47"/>
      <c r="EH37" s="47"/>
      <c r="EI37" s="47"/>
      <c r="EJ37" s="47"/>
      <c r="EK37" s="47"/>
      <c r="EL37" s="47"/>
      <c r="EM37" s="47"/>
      <c r="EN37" s="47"/>
      <c r="EO37" s="47"/>
      <c r="EP37" s="47"/>
      <c r="EQ37" s="47"/>
      <c r="ER37" s="47"/>
      <c r="ES37" s="47"/>
      <c r="ET37" s="47"/>
      <c r="EU37" s="47"/>
      <c r="EV37" s="47"/>
      <c r="EW37" s="47"/>
      <c r="EX37" s="47"/>
      <c r="EY37" s="47"/>
      <c r="EZ37" s="47"/>
      <c r="FA37" s="47"/>
      <c r="FB37" s="47"/>
      <c r="FC37" s="47"/>
      <c r="FD37" s="47"/>
      <c r="FE37" s="47"/>
      <c r="FF37" s="47"/>
      <c r="FG37" s="47"/>
      <c r="FH37" s="47"/>
      <c r="FI37" s="47"/>
      <c r="FJ37" s="47"/>
      <c r="FK37" s="47"/>
      <c r="FL37" s="47"/>
      <c r="FM37" s="47"/>
      <c r="FN37" s="47"/>
      <c r="FO37" s="47"/>
      <c r="FP37" s="47"/>
      <c r="FQ37" s="47"/>
      <c r="FR37" s="47"/>
      <c r="FS37" s="47"/>
      <c r="FT37" s="47"/>
      <c r="FU37" s="47"/>
      <c r="FV37" s="47"/>
      <c r="FW37" s="47"/>
      <c r="FX37" s="47"/>
      <c r="FY37" s="47"/>
      <c r="FZ37" s="47"/>
      <c r="GA37" s="47"/>
      <c r="GB37" s="47"/>
      <c r="GC37" s="47"/>
      <c r="GD37" s="47"/>
      <c r="GE37" s="47"/>
      <c r="GF37" s="47"/>
      <c r="GG37" s="47"/>
      <c r="GH37" s="47"/>
      <c r="GI37" s="47"/>
      <c r="GJ37" s="47"/>
      <c r="GK37" s="47"/>
      <c r="GL37" s="47"/>
      <c r="GM37" s="47"/>
      <c r="GN37" s="47"/>
      <c r="GO37" s="47"/>
      <c r="GP37" s="47"/>
      <c r="GQ37" s="47"/>
      <c r="GR37" s="47"/>
      <c r="GS37" s="47"/>
      <c r="GT37" s="47"/>
      <c r="GU37" s="47"/>
      <c r="GV37" s="47"/>
      <c r="GW37" s="47"/>
      <c r="GX37" s="47"/>
      <c r="GY37" s="47"/>
      <c r="GZ37" s="47"/>
      <c r="HA37" s="47"/>
      <c r="HB37" s="47"/>
      <c r="HC37" s="47"/>
      <c r="HD37" s="47"/>
      <c r="HE37" s="47"/>
      <c r="HF37" s="47"/>
      <c r="HG37" s="47"/>
      <c r="HH37" s="47"/>
      <c r="HI37" s="47"/>
      <c r="HJ37" s="47"/>
      <c r="HK37" s="47"/>
      <c r="HL37" s="47"/>
      <c r="HM37" s="47"/>
      <c r="HN37" s="47"/>
      <c r="HO37" s="47"/>
      <c r="HP37" s="47"/>
      <c r="HQ37" s="47"/>
      <c r="HR37" s="47"/>
      <c r="HS37" s="47"/>
      <c r="HT37" s="47"/>
      <c r="HU37" s="47"/>
      <c r="HV37" s="47"/>
      <c r="HW37" s="47"/>
      <c r="HX37" s="47"/>
      <c r="HY37" s="47"/>
      <c r="HZ37" s="47"/>
      <c r="IA37" s="47"/>
      <c r="IB37" s="47"/>
      <c r="IC37" s="47"/>
      <c r="ID37" s="47"/>
      <c r="IE37" s="47"/>
      <c r="IF37" s="47"/>
      <c r="IG37" s="47"/>
      <c r="IH37" s="47"/>
      <c r="II37" s="47"/>
      <c r="IJ37" s="47"/>
      <c r="IK37" s="47"/>
      <c r="IL37" s="47"/>
      <c r="IM37" s="47"/>
      <c r="IN37" s="47"/>
      <c r="IO37" s="47"/>
      <c r="IP37" s="47"/>
      <c r="IQ37" s="47"/>
      <c r="IR37" s="47"/>
      <c r="IS37" s="47"/>
      <c r="IT37" s="47"/>
      <c r="IU37" s="47"/>
      <c r="IV37" s="47"/>
      <c r="IW37" s="47"/>
      <c r="IX37" s="47"/>
      <c r="IY37" s="47"/>
      <c r="IZ37" s="47"/>
      <c r="JA37" s="47"/>
      <c r="JB37" s="47"/>
      <c r="JC37" s="47"/>
      <c r="JD37" s="47"/>
      <c r="JE37" s="47"/>
      <c r="JF37" s="47"/>
      <c r="JG37" s="47"/>
      <c r="JH37" s="47"/>
      <c r="JI37" s="47"/>
      <c r="JJ37" s="47"/>
      <c r="JK37" s="47"/>
      <c r="JL37" s="47"/>
      <c r="JM37" s="47"/>
      <c r="JN37" s="47"/>
      <c r="JO37" s="47"/>
      <c r="JP37" s="47"/>
      <c r="JQ37" s="47"/>
      <c r="JR37" s="47"/>
      <c r="JS37" s="47"/>
      <c r="JT37" s="47"/>
      <c r="JU37" s="47"/>
      <c r="JV37" s="47"/>
      <c r="JW37" s="47"/>
      <c r="JX37" s="47"/>
      <c r="JY37" s="47"/>
      <c r="JZ37" s="47"/>
      <c r="KA37" s="47"/>
      <c r="KB37" s="47"/>
      <c r="KC37" s="47"/>
      <c r="KD37" s="47"/>
      <c r="KE37" s="47"/>
      <c r="KF37" s="47"/>
      <c r="KG37" s="47"/>
      <c r="KH37" s="47"/>
      <c r="KI37" s="47"/>
      <c r="KJ37" s="47"/>
      <c r="KK37" s="47"/>
      <c r="KL37" s="47"/>
      <c r="KM37" s="47"/>
      <c r="KN37" s="47"/>
      <c r="KO37" s="47"/>
      <c r="KP37" s="47"/>
      <c r="KQ37" s="47"/>
      <c r="KR37" s="47"/>
      <c r="KS37" s="47"/>
      <c r="KT37" s="47"/>
      <c r="KU37" s="47"/>
      <c r="KV37" s="47"/>
      <c r="KW37" s="47"/>
      <c r="KX37" s="47"/>
      <c r="KY37" s="47"/>
      <c r="KZ37" s="47"/>
      <c r="LA37" s="47"/>
      <c r="LB37" s="47"/>
      <c r="LC37" s="47"/>
      <c r="LD37" s="47"/>
      <c r="LE37" s="47"/>
      <c r="LF37" s="47"/>
      <c r="LG37" s="47"/>
      <c r="LH37" s="47"/>
      <c r="LI37" s="47"/>
      <c r="LJ37" s="47"/>
      <c r="LK37" s="47"/>
      <c r="LL37" s="47"/>
      <c r="LM37" s="47"/>
      <c r="LN37" s="47"/>
      <c r="LO37" s="47"/>
      <c r="LP37" s="47"/>
      <c r="LQ37" s="47"/>
      <c r="LR37" s="47"/>
      <c r="LS37" s="47"/>
      <c r="LT37" s="47"/>
      <c r="LU37" s="47"/>
      <c r="LV37" s="47"/>
      <c r="LW37" s="47"/>
      <c r="LX37" s="47"/>
      <c r="LY37" s="47"/>
      <c r="LZ37" s="47"/>
      <c r="MA37" s="47"/>
      <c r="MB37" s="47"/>
      <c r="MC37" s="47"/>
      <c r="MD37" s="47"/>
      <c r="ME37" s="47"/>
      <c r="MF37" s="47"/>
      <c r="MG37" s="47"/>
      <c r="MH37" s="47"/>
      <c r="MI37" s="47"/>
      <c r="MJ37" s="47"/>
      <c r="MK37" s="47"/>
      <c r="ML37" s="47"/>
      <c r="MM37" s="47"/>
      <c r="MN37" s="47"/>
      <c r="MO37" s="47"/>
      <c r="MP37" s="47"/>
      <c r="MQ37" s="47"/>
      <c r="MR37" s="47"/>
      <c r="MS37" s="47"/>
      <c r="MT37" s="47"/>
      <c r="MU37" s="47"/>
      <c r="MV37" s="47"/>
      <c r="MW37" s="47"/>
      <c r="MX37" s="47"/>
      <c r="MY37" s="47"/>
      <c r="MZ37" s="47"/>
      <c r="NA37" s="47"/>
      <c r="NB37" s="47"/>
      <c r="NC37" s="47"/>
      <c r="ND37" s="47"/>
      <c r="NE37" s="47"/>
      <c r="NF37" s="47"/>
      <c r="NG37" s="47"/>
      <c r="NH37" s="47"/>
      <c r="NI37" s="47"/>
      <c r="NJ37" s="47"/>
      <c r="NK37" s="47"/>
      <c r="NL37" s="47"/>
      <c r="NM37" s="47"/>
      <c r="NN37" s="47"/>
      <c r="NO37" s="47"/>
      <c r="NP37" s="47"/>
      <c r="NQ37" s="47"/>
      <c r="NR37" s="47"/>
      <c r="NS37" s="47"/>
      <c r="NT37" s="47"/>
      <c r="NU37" s="47"/>
      <c r="NV37" s="47"/>
      <c r="NW37" s="47"/>
      <c r="NX37" s="47"/>
      <c r="NY37" s="47"/>
      <c r="NZ37" s="47"/>
      <c r="OA37" s="47"/>
      <c r="OB37" s="47"/>
      <c r="OC37" s="47"/>
      <c r="OD37" s="47"/>
      <c r="OE37" s="47"/>
      <c r="OF37" s="47"/>
      <c r="OG37" s="47"/>
      <c r="OH37" s="47"/>
      <c r="OI37" s="47"/>
      <c r="OJ37" s="47"/>
      <c r="OK37" s="47"/>
      <c r="OL37" s="47"/>
      <c r="OM37" s="47"/>
      <c r="ON37" s="47"/>
      <c r="OO37" s="47"/>
      <c r="OP37" s="47"/>
      <c r="OQ37" s="47"/>
      <c r="OR37" s="47"/>
      <c r="OS37" s="47"/>
      <c r="OT37" s="47"/>
      <c r="OU37" s="47"/>
      <c r="OV37" s="47"/>
      <c r="OW37" s="47"/>
      <c r="OX37" s="47"/>
      <c r="OY37" s="47"/>
      <c r="OZ37" s="47"/>
      <c r="PA37" s="47"/>
      <c r="PB37" s="47"/>
      <c r="PC37" s="47"/>
      <c r="PD37" s="47"/>
      <c r="PE37" s="47"/>
      <c r="PF37" s="47"/>
      <c r="PG37" s="47"/>
      <c r="PH37" s="47"/>
      <c r="PI37" s="47"/>
      <c r="PJ37" s="47"/>
      <c r="PK37" s="47"/>
      <c r="PL37" s="47"/>
      <c r="PM37" s="47"/>
      <c r="PN37" s="47"/>
      <c r="PO37" s="47"/>
      <c r="PP37" s="47"/>
      <c r="PQ37" s="47"/>
      <c r="PR37" s="47"/>
      <c r="PS37" s="47"/>
      <c r="PT37" s="47"/>
      <c r="PU37" s="47"/>
      <c r="PV37" s="47"/>
      <c r="PW37" s="47"/>
      <c r="PX37" s="47"/>
      <c r="PY37" s="47"/>
      <c r="PZ37" s="47"/>
      <c r="QA37" s="47"/>
      <c r="QB37" s="47"/>
      <c r="QC37" s="47"/>
      <c r="QD37" s="47"/>
      <c r="QE37" s="47"/>
      <c r="QF37" s="47"/>
      <c r="QG37" s="47"/>
      <c r="QH37" s="47"/>
      <c r="QI37" s="47"/>
      <c r="QJ37" s="47"/>
      <c r="QK37" s="47"/>
      <c r="QL37" s="47"/>
      <c r="QM37" s="47"/>
      <c r="QN37" s="47"/>
      <c r="QO37" s="47"/>
      <c r="QP37" s="47"/>
      <c r="QQ37" s="47"/>
      <c r="QR37" s="47"/>
      <c r="QS37" s="47"/>
      <c r="QT37" s="47"/>
      <c r="QU37" s="47"/>
      <c r="QV37" s="47"/>
      <c r="QW37" s="47"/>
      <c r="QX37" s="47"/>
      <c r="QY37" s="47"/>
      <c r="QZ37" s="47"/>
      <c r="RA37" s="47"/>
      <c r="RB37" s="47"/>
      <c r="RC37" s="47"/>
      <c r="RD37" s="47"/>
      <c r="RE37" s="47"/>
      <c r="RF37" s="47"/>
      <c r="RG37" s="47"/>
      <c r="RH37" s="47"/>
      <c r="RI37" s="47"/>
      <c r="RJ37" s="47"/>
      <c r="RK37" s="47"/>
      <c r="RL37" s="47"/>
      <c r="RM37" s="47"/>
      <c r="RN37" s="47"/>
      <c r="RO37" s="47"/>
      <c r="RP37" s="47"/>
      <c r="RQ37" s="47"/>
      <c r="RR37" s="47"/>
      <c r="RS37" s="47"/>
      <c r="RT37" s="47"/>
      <c r="RU37" s="47"/>
      <c r="RV37" s="47"/>
      <c r="RW37" s="47"/>
      <c r="RX37" s="47"/>
      <c r="RY37" s="47"/>
      <c r="RZ37" s="47"/>
      <c r="SA37" s="47"/>
      <c r="SB37" s="47"/>
      <c r="SC37" s="47"/>
      <c r="SD37" s="47"/>
      <c r="SE37" s="47"/>
      <c r="SF37" s="47"/>
      <c r="SG37" s="47"/>
      <c r="SH37" s="47"/>
      <c r="SI37" s="47"/>
      <c r="SJ37" s="47"/>
      <c r="SK37" s="47"/>
      <c r="SL37" s="47"/>
      <c r="SM37" s="47"/>
      <c r="SN37" s="47"/>
      <c r="SO37" s="47"/>
      <c r="SP37" s="47"/>
      <c r="SQ37" s="47"/>
      <c r="SR37" s="47"/>
      <c r="SS37" s="47"/>
      <c r="ST37" s="47"/>
      <c r="SU37" s="47"/>
      <c r="SV37" s="47"/>
      <c r="SW37" s="47"/>
      <c r="SX37" s="47"/>
      <c r="SY37" s="47"/>
      <c r="SZ37" s="47"/>
      <c r="TA37" s="47"/>
      <c r="TB37" s="47"/>
      <c r="TC37" s="47"/>
      <c r="TD37" s="47"/>
      <c r="TE37" s="47"/>
      <c r="TF37" s="47"/>
      <c r="TG37" s="47"/>
      <c r="TH37" s="47"/>
      <c r="TI37" s="47"/>
      <c r="TJ37" s="47"/>
      <c r="TK37" s="47"/>
      <c r="TL37" s="47"/>
      <c r="TM37" s="47"/>
      <c r="TN37" s="47"/>
      <c r="TO37" s="47"/>
      <c r="TP37" s="47"/>
      <c r="TQ37" s="47"/>
      <c r="TR37" s="47"/>
      <c r="TS37" s="47"/>
      <c r="TT37" s="47"/>
      <c r="TU37" s="47"/>
      <c r="TV37" s="47"/>
      <c r="TW37" s="47"/>
      <c r="TX37" s="47"/>
      <c r="TY37" s="47"/>
      <c r="TZ37" s="47"/>
      <c r="UA37" s="47"/>
      <c r="UB37" s="47"/>
      <c r="UC37" s="47"/>
      <c r="UD37" s="47"/>
      <c r="UE37" s="47"/>
      <c r="UF37" s="47"/>
      <c r="UG37" s="47"/>
      <c r="UH37" s="47"/>
      <c r="UI37" s="47"/>
      <c r="UJ37" s="47"/>
      <c r="UK37" s="47"/>
      <c r="UL37" s="47"/>
      <c r="UM37" s="47"/>
      <c r="UN37" s="47"/>
      <c r="UO37" s="47"/>
      <c r="UP37" s="47"/>
      <c r="UQ37" s="47"/>
      <c r="UR37" s="47"/>
      <c r="US37" s="47"/>
      <c r="UT37" s="47"/>
      <c r="UU37" s="47"/>
      <c r="UV37" s="47"/>
      <c r="UW37" s="47"/>
      <c r="UX37" s="47"/>
      <c r="UY37" s="47"/>
      <c r="UZ37" s="47"/>
      <c r="VA37" s="47"/>
      <c r="VB37" s="47"/>
      <c r="VC37" s="47"/>
      <c r="VD37" s="47"/>
      <c r="VE37" s="47"/>
      <c r="VF37" s="47"/>
      <c r="VG37" s="47"/>
      <c r="VH37" s="47"/>
      <c r="VI37" s="47"/>
      <c r="VJ37" s="47"/>
      <c r="VK37" s="47"/>
      <c r="VL37" s="47"/>
      <c r="VM37" s="47"/>
      <c r="VN37" s="47"/>
      <c r="VO37" s="47"/>
      <c r="VP37" s="47"/>
      <c r="VQ37" s="47"/>
      <c r="VR37" s="47"/>
      <c r="VS37" s="47"/>
      <c r="VT37" s="47"/>
      <c r="VU37" s="47"/>
      <c r="VV37" s="47"/>
      <c r="VW37" s="47"/>
      <c r="VX37" s="47"/>
      <c r="VY37" s="47"/>
      <c r="VZ37" s="47"/>
      <c r="WA37" s="47"/>
      <c r="WB37" s="47"/>
      <c r="WC37" s="47"/>
      <c r="WD37" s="47"/>
      <c r="WE37" s="47"/>
      <c r="WF37" s="47"/>
      <c r="WG37" s="47"/>
      <c r="WH37" s="47"/>
      <c r="WI37" s="47"/>
      <c r="WJ37" s="47"/>
      <c r="WK37" s="47"/>
      <c r="WL37" s="47"/>
      <c r="WM37" s="47"/>
      <c r="WN37" s="47"/>
      <c r="WO37" s="47"/>
      <c r="WP37" s="47"/>
      <c r="WQ37" s="47"/>
      <c r="WR37" s="47"/>
      <c r="WS37" s="47"/>
      <c r="WT37" s="47"/>
      <c r="WU37" s="47"/>
      <c r="WV37" s="47"/>
      <c r="WW37" s="47"/>
      <c r="WX37" s="47"/>
      <c r="WY37" s="47"/>
      <c r="WZ37" s="47"/>
      <c r="XA37" s="47"/>
      <c r="XB37" s="47"/>
      <c r="XC37" s="47"/>
      <c r="XD37" s="47"/>
      <c r="XE37" s="47"/>
      <c r="XF37" s="47"/>
      <c r="XG37" s="47"/>
      <c r="XH37" s="47"/>
      <c r="XI37" s="47"/>
      <c r="XJ37" s="47"/>
      <c r="XK37" s="47"/>
      <c r="XL37" s="47"/>
      <c r="XM37" s="47"/>
      <c r="XN37" s="47"/>
      <c r="XO37" s="47"/>
      <c r="XP37" s="47"/>
      <c r="XQ37" s="47"/>
      <c r="XR37" s="47"/>
      <c r="XS37" s="47"/>
      <c r="XT37" s="47"/>
      <c r="XU37" s="47"/>
      <c r="XV37" s="47"/>
      <c r="XW37" s="47"/>
      <c r="XX37" s="47"/>
      <c r="XY37" s="47"/>
      <c r="XZ37" s="47"/>
      <c r="YA37" s="47"/>
      <c r="YB37" s="47"/>
      <c r="YC37" s="47"/>
      <c r="YD37" s="47"/>
      <c r="YE37" s="47"/>
      <c r="YF37" s="47"/>
      <c r="YG37" s="47"/>
      <c r="YH37" s="47"/>
      <c r="YI37" s="47"/>
      <c r="YJ37" s="47"/>
      <c r="YK37" s="47"/>
      <c r="YL37" s="47"/>
      <c r="YM37" s="47"/>
      <c r="YN37" s="47"/>
      <c r="YO37" s="47"/>
      <c r="YP37" s="47"/>
      <c r="YQ37" s="47"/>
      <c r="YR37" s="47"/>
      <c r="YS37" s="47"/>
      <c r="YT37" s="47"/>
      <c r="YU37" s="47"/>
      <c r="YV37" s="47"/>
      <c r="YW37" s="47"/>
      <c r="YX37" s="47"/>
      <c r="YY37" s="47"/>
      <c r="YZ37" s="47"/>
      <c r="ZA37" s="47"/>
      <c r="ZB37" s="47"/>
      <c r="ZC37" s="47"/>
      <c r="ZD37" s="47"/>
      <c r="ZE37" s="47"/>
      <c r="ZF37" s="47"/>
      <c r="ZG37" s="47"/>
      <c r="ZH37" s="47"/>
      <c r="ZI37" s="47"/>
      <c r="ZJ37" s="47"/>
      <c r="ZK37" s="47"/>
      <c r="ZL37" s="47"/>
      <c r="ZM37" s="47"/>
      <c r="ZN37" s="47"/>
      <c r="ZO37" s="47"/>
      <c r="ZP37" s="47"/>
      <c r="ZQ37" s="47"/>
      <c r="ZR37" s="47"/>
      <c r="ZS37" s="47"/>
      <c r="ZT37" s="47"/>
      <c r="ZU37" s="47"/>
      <c r="ZV37" s="47"/>
      <c r="ZW37" s="47"/>
      <c r="ZX37" s="47"/>
      <c r="ZY37" s="47"/>
      <c r="ZZ37" s="47"/>
      <c r="AAA37" s="47"/>
      <c r="AAB37" s="47"/>
      <c r="AAC37" s="47"/>
      <c r="AAD37" s="47"/>
      <c r="AAE37" s="47"/>
      <c r="AAF37" s="47"/>
      <c r="AAG37" s="47"/>
      <c r="AAH37" s="47"/>
      <c r="AAI37" s="47"/>
      <c r="AAJ37" s="47"/>
      <c r="AAK37" s="47"/>
      <c r="AAL37" s="47"/>
      <c r="AAM37" s="47"/>
      <c r="AAN37" s="47"/>
      <c r="AAO37" s="47"/>
      <c r="AAP37" s="47"/>
      <c r="AAQ37" s="47"/>
      <c r="AAR37" s="47"/>
      <c r="AAS37" s="47"/>
      <c r="AAT37" s="47"/>
      <c r="AAU37" s="47"/>
      <c r="AAV37" s="47"/>
      <c r="AAW37" s="47"/>
      <c r="AAX37" s="47"/>
      <c r="AAY37" s="47"/>
      <c r="AAZ37" s="47"/>
      <c r="ABA37" s="47"/>
      <c r="ABB37" s="47"/>
      <c r="ABC37" s="47"/>
      <c r="ABD37" s="47"/>
      <c r="ABE37" s="47"/>
      <c r="ABF37" s="47"/>
      <c r="ABG37" s="47"/>
      <c r="ABH37" s="47"/>
      <c r="ABI37" s="47"/>
      <c r="ABJ37" s="47"/>
      <c r="ABK37" s="47"/>
      <c r="ABL37" s="47"/>
      <c r="ABM37" s="47"/>
      <c r="ABN37" s="47"/>
      <c r="ABO37" s="47"/>
      <c r="ABP37" s="47"/>
      <c r="ABQ37" s="47"/>
      <c r="ABR37" s="47"/>
      <c r="ABS37" s="47"/>
      <c r="ABT37" s="47"/>
      <c r="ABU37" s="47"/>
      <c r="ABV37" s="47"/>
      <c r="ABW37" s="47"/>
      <c r="ABX37" s="47"/>
      <c r="ABY37" s="47"/>
      <c r="ABZ37" s="47"/>
      <c r="ACA37" s="47"/>
      <c r="ACB37" s="47"/>
      <c r="ACC37" s="47"/>
      <c r="ACD37" s="47"/>
      <c r="ACE37" s="47"/>
      <c r="ACF37" s="47"/>
      <c r="ACG37" s="47"/>
      <c r="ACH37" s="47"/>
      <c r="ACI37" s="47"/>
      <c r="ACJ37" s="47"/>
      <c r="ACK37" s="47"/>
      <c r="ACL37" s="47"/>
      <c r="ACM37" s="47"/>
      <c r="ACN37" s="47"/>
      <c r="ACO37" s="47"/>
      <c r="ACP37" s="47"/>
      <c r="ACQ37" s="47"/>
      <c r="ACR37" s="47"/>
      <c r="ACS37" s="47"/>
      <c r="ACT37" s="47"/>
      <c r="ACU37" s="47"/>
      <c r="ACV37" s="47"/>
      <c r="ACW37" s="47"/>
      <c r="ACX37" s="47"/>
      <c r="ACY37" s="47"/>
      <c r="ACZ37" s="47"/>
      <c r="ADA37" s="47"/>
      <c r="ADB37" s="47"/>
      <c r="ADC37" s="47"/>
      <c r="ADD37" s="47"/>
      <c r="ADE37" s="47"/>
      <c r="ADF37" s="47"/>
      <c r="ADG37" s="47"/>
      <c r="ADH37" s="47"/>
      <c r="ADI37" s="47"/>
      <c r="ADJ37" s="47"/>
      <c r="ADK37" s="47"/>
      <c r="ADL37" s="47"/>
      <c r="ADM37" s="47"/>
      <c r="ADN37" s="47"/>
      <c r="ADO37" s="47"/>
      <c r="ADP37" s="47"/>
      <c r="ADQ37" s="47"/>
      <c r="ADR37" s="47"/>
      <c r="ADS37" s="47"/>
      <c r="ADT37" s="47"/>
      <c r="ADU37" s="47"/>
      <c r="ADV37" s="47"/>
      <c r="ADW37" s="47"/>
      <c r="ADX37" s="47"/>
      <c r="ADY37" s="47"/>
      <c r="ADZ37" s="47"/>
      <c r="AEA37" s="47"/>
      <c r="AEB37" s="47"/>
      <c r="AEC37" s="47"/>
      <c r="AED37" s="47"/>
      <c r="AEE37" s="47"/>
      <c r="AEF37" s="47"/>
      <c r="AEG37" s="47"/>
      <c r="AEH37" s="47"/>
      <c r="AEI37" s="47"/>
      <c r="AEJ37" s="47"/>
      <c r="AEK37" s="47"/>
      <c r="AEL37" s="47"/>
      <c r="AEM37" s="47"/>
      <c r="AEN37" s="47"/>
      <c r="AEO37" s="47"/>
      <c r="AEP37" s="47"/>
      <c r="AEQ37" s="47"/>
      <c r="AER37" s="47"/>
      <c r="AES37" s="47"/>
      <c r="AET37" s="47"/>
      <c r="AEU37" s="47"/>
      <c r="AEV37" s="47"/>
      <c r="AEW37" s="47"/>
      <c r="AEX37" s="47"/>
      <c r="AEY37" s="47"/>
      <c r="AEZ37" s="47"/>
      <c r="AFA37" s="47"/>
      <c r="AFB37" s="47"/>
      <c r="AFC37" s="47"/>
      <c r="AFD37" s="47"/>
      <c r="AFE37" s="47"/>
      <c r="AFF37" s="47"/>
      <c r="AFG37" s="47"/>
      <c r="AFH37" s="47"/>
      <c r="AFI37" s="47"/>
      <c r="AFJ37" s="47"/>
      <c r="AFK37" s="47"/>
      <c r="AFL37" s="47"/>
      <c r="AFM37" s="47"/>
      <c r="AFN37" s="47"/>
      <c r="AFO37" s="47"/>
      <c r="AFP37" s="47"/>
      <c r="AFQ37" s="47"/>
      <c r="AFR37" s="47"/>
      <c r="AFS37" s="47"/>
      <c r="AFT37" s="47"/>
      <c r="AFU37" s="47"/>
      <c r="AFV37" s="47"/>
      <c r="AFW37" s="47"/>
      <c r="AFX37" s="47"/>
      <c r="AFY37" s="47"/>
      <c r="AFZ37" s="47"/>
      <c r="AGA37" s="47"/>
      <c r="AGB37" s="47"/>
      <c r="AGC37" s="47"/>
      <c r="AGD37" s="47"/>
      <c r="AGE37" s="47"/>
      <c r="AGF37" s="47"/>
      <c r="AGG37" s="47"/>
      <c r="AGH37" s="47"/>
      <c r="AGI37" s="47"/>
      <c r="AGJ37" s="47"/>
      <c r="AGK37" s="47"/>
      <c r="AGL37" s="47"/>
      <c r="AGM37" s="47"/>
      <c r="AGN37" s="47"/>
      <c r="AGO37" s="47"/>
      <c r="AGP37" s="47"/>
      <c r="AGQ37" s="47"/>
      <c r="AGR37" s="47"/>
      <c r="AGS37" s="47"/>
      <c r="AGT37" s="47"/>
      <c r="AGU37" s="47"/>
      <c r="AGV37" s="47"/>
      <c r="AGW37" s="47"/>
      <c r="AGX37" s="47"/>
      <c r="AGY37" s="47"/>
      <c r="AGZ37" s="47"/>
      <c r="AHA37" s="47"/>
      <c r="AHB37" s="47"/>
      <c r="AHC37" s="47"/>
      <c r="AHD37" s="47"/>
      <c r="AHE37" s="47"/>
      <c r="AHF37" s="47"/>
      <c r="AHG37" s="47"/>
      <c r="AHH37" s="47"/>
      <c r="AHI37" s="47"/>
      <c r="AHJ37" s="47"/>
      <c r="AHK37" s="47"/>
      <c r="AHL37" s="47"/>
      <c r="AHM37" s="47"/>
      <c r="AHN37" s="47"/>
      <c r="AHO37" s="47"/>
      <c r="AHP37" s="47"/>
      <c r="AHQ37" s="47"/>
      <c r="AHR37" s="47"/>
      <c r="AHS37" s="47"/>
      <c r="AHT37" s="47"/>
      <c r="AHU37" s="47"/>
      <c r="AHV37" s="47"/>
      <c r="AHW37" s="47"/>
      <c r="AHX37" s="47"/>
      <c r="AHY37" s="47"/>
      <c r="AHZ37" s="47"/>
      <c r="AIA37" s="47"/>
      <c r="AIB37" s="47"/>
      <c r="AIC37" s="47"/>
      <c r="AID37" s="47"/>
      <c r="AIE37" s="47"/>
      <c r="AIF37" s="47"/>
      <c r="AIG37" s="47"/>
      <c r="AIH37" s="47"/>
      <c r="AII37" s="47"/>
      <c r="AIJ37" s="47"/>
      <c r="AIK37" s="47"/>
      <c r="AIL37" s="47"/>
      <c r="AIM37" s="47"/>
      <c r="AIN37" s="47"/>
      <c r="AIO37" s="47"/>
      <c r="AIP37" s="47"/>
      <c r="AIQ37" s="47"/>
      <c r="AIR37" s="47"/>
      <c r="AIS37" s="47"/>
      <c r="AIT37" s="47"/>
      <c r="AIU37" s="47"/>
      <c r="AIV37" s="47"/>
      <c r="AIW37" s="47"/>
      <c r="AIX37" s="47"/>
      <c r="AIY37" s="47"/>
      <c r="AIZ37" s="47"/>
      <c r="AJA37" s="47"/>
      <c r="AJB37" s="47"/>
      <c r="AJC37" s="47"/>
      <c r="AJD37" s="47"/>
      <c r="AJE37" s="47"/>
      <c r="AJF37" s="47"/>
      <c r="AJG37" s="47"/>
      <c r="AJH37" s="47"/>
      <c r="AJI37" s="47"/>
      <c r="AJJ37" s="47"/>
      <c r="AJK37" s="47"/>
      <c r="AJL37" s="47"/>
      <c r="AJM37" s="47"/>
      <c r="AJN37" s="47"/>
      <c r="AJO37" s="47"/>
      <c r="AJP37" s="47"/>
      <c r="AJQ37" s="47"/>
      <c r="AJR37" s="47"/>
      <c r="AJS37" s="47"/>
      <c r="AJT37" s="47"/>
      <c r="AJU37" s="47"/>
      <c r="AJV37" s="47"/>
      <c r="AJW37" s="47"/>
      <c r="AJX37" s="47"/>
      <c r="AJY37" s="47"/>
      <c r="AJZ37" s="47"/>
      <c r="AKA37" s="47"/>
      <c r="AKB37" s="47"/>
      <c r="AKC37" s="47"/>
      <c r="AKD37" s="47"/>
      <c r="AKE37" s="47"/>
      <c r="AKF37" s="47"/>
      <c r="AKG37" s="47"/>
      <c r="AKH37" s="47"/>
      <c r="AKI37" s="47"/>
      <c r="AKJ37" s="47"/>
      <c r="AKK37" s="47"/>
      <c r="AKL37" s="47"/>
      <c r="AKM37" s="47"/>
      <c r="AKN37" s="47"/>
      <c r="AKO37" s="47"/>
      <c r="AKP37" s="47"/>
      <c r="AKQ37" s="47"/>
      <c r="AKR37" s="47"/>
      <c r="AKS37" s="47"/>
      <c r="AKT37" s="47"/>
      <c r="AKU37" s="47"/>
      <c r="AKV37" s="47"/>
      <c r="AKW37" s="47"/>
      <c r="AKX37" s="47"/>
      <c r="AKY37" s="47"/>
      <c r="AKZ37" s="47"/>
      <c r="ALA37" s="47"/>
      <c r="ALB37" s="47"/>
      <c r="ALC37" s="47"/>
      <c r="ALD37" s="47"/>
      <c r="ALE37" s="47"/>
      <c r="ALF37" s="47"/>
      <c r="ALG37" s="47"/>
      <c r="ALH37" s="47"/>
      <c r="ALI37" s="47"/>
      <c r="ALJ37" s="47"/>
      <c r="ALK37" s="47"/>
      <c r="ALL37" s="47"/>
      <c r="ALM37" s="47"/>
      <c r="ALN37" s="47"/>
      <c r="ALO37" s="47"/>
      <c r="ALP37" s="47"/>
      <c r="ALQ37" s="47"/>
      <c r="ALR37" s="47"/>
      <c r="ALS37" s="47"/>
      <c r="ALT37" s="47"/>
      <c r="ALU37" s="47"/>
      <c r="ALV37" s="47"/>
      <c r="ALW37" s="47"/>
      <c r="ALX37" s="47"/>
      <c r="ALY37" s="47"/>
      <c r="ALZ37" s="47"/>
      <c r="AMA37" s="47"/>
      <c r="AMB37" s="47"/>
      <c r="AMC37" s="47"/>
      <c r="AMD37" s="47"/>
      <c r="AME37" s="47"/>
      <c r="AMF37" s="47"/>
      <c r="AMG37" s="47"/>
      <c r="AMH37" s="47"/>
      <c r="AMI37" s="47"/>
      <c r="AMJ37" s="47"/>
      <c r="AMK37" s="47"/>
      <c r="AML37" s="47"/>
      <c r="AMM37" s="47"/>
      <c r="AMN37" s="47"/>
      <c r="AMO37" s="47"/>
      <c r="AMP37" s="47"/>
      <c r="AMQ37" s="47"/>
      <c r="AMR37" s="47"/>
      <c r="AMS37" s="47"/>
      <c r="AMT37" s="47"/>
      <c r="AMU37" s="47"/>
      <c r="AMV37" s="47"/>
      <c r="AMW37" s="47"/>
      <c r="AMX37" s="47"/>
      <c r="AMY37" s="47"/>
      <c r="AMZ37" s="47"/>
      <c r="ANA37" s="47"/>
      <c r="ANB37" s="47"/>
      <c r="ANC37" s="47"/>
      <c r="AND37" s="47"/>
      <c r="ANE37" s="47"/>
      <c r="ANF37" s="47"/>
      <c r="ANG37" s="47"/>
      <c r="ANH37" s="47"/>
      <c r="ANI37" s="47"/>
      <c r="ANJ37" s="47"/>
      <c r="ANK37" s="47"/>
      <c r="ANL37" s="47"/>
      <c r="ANM37" s="47"/>
      <c r="ANN37" s="47"/>
      <c r="ANO37" s="47"/>
      <c r="ANP37" s="47"/>
      <c r="ANQ37" s="47"/>
      <c r="ANR37" s="47"/>
      <c r="ANS37" s="47"/>
      <c r="ANT37" s="47"/>
      <c r="ANU37" s="47"/>
      <c r="ANV37" s="47"/>
      <c r="ANW37" s="47"/>
      <c r="ANX37" s="47"/>
      <c r="ANY37" s="47"/>
      <c r="ANZ37" s="47"/>
      <c r="AOA37" s="47"/>
      <c r="AOB37" s="47"/>
      <c r="AOC37" s="47"/>
      <c r="AOD37" s="47"/>
      <c r="AOE37" s="47"/>
      <c r="AOF37" s="47"/>
      <c r="AOG37" s="47"/>
      <c r="AOH37" s="47"/>
      <c r="AOI37" s="47"/>
      <c r="AOJ37" s="47"/>
      <c r="AOK37" s="47"/>
      <c r="AOL37" s="47"/>
      <c r="AOM37" s="47"/>
      <c r="AON37" s="47"/>
      <c r="AOO37" s="47"/>
      <c r="AOP37" s="47"/>
      <c r="AOQ37" s="47"/>
      <c r="AOR37" s="47"/>
      <c r="AOS37" s="47"/>
      <c r="AOT37" s="47"/>
      <c r="AOU37" s="47"/>
      <c r="AOV37" s="47"/>
      <c r="AOW37" s="47"/>
      <c r="AOX37" s="47"/>
      <c r="AOY37" s="47"/>
      <c r="AOZ37" s="47"/>
      <c r="APA37" s="47"/>
      <c r="APB37" s="47"/>
      <c r="APC37" s="47"/>
      <c r="APD37" s="47"/>
      <c r="APE37" s="47"/>
      <c r="APF37" s="47"/>
      <c r="APG37" s="47"/>
      <c r="APH37" s="47"/>
      <c r="API37" s="47"/>
      <c r="APJ37" s="47"/>
      <c r="APK37" s="47"/>
      <c r="APL37" s="47"/>
      <c r="APM37" s="47"/>
      <c r="APN37" s="47"/>
      <c r="APO37" s="47"/>
      <c r="APP37" s="47"/>
      <c r="APQ37" s="47"/>
      <c r="APR37" s="47"/>
      <c r="APS37" s="47"/>
      <c r="APT37" s="47"/>
      <c r="APU37" s="47"/>
      <c r="APV37" s="47"/>
      <c r="APW37" s="47"/>
      <c r="APX37" s="47"/>
      <c r="APY37" s="47"/>
      <c r="APZ37" s="47"/>
      <c r="AQA37" s="47"/>
      <c r="AQB37" s="47"/>
      <c r="AQC37" s="47"/>
      <c r="AQD37" s="47"/>
      <c r="AQE37" s="47"/>
      <c r="AQF37" s="47"/>
      <c r="AQG37" s="47"/>
      <c r="AQH37" s="47"/>
      <c r="AQI37" s="47"/>
      <c r="AQJ37" s="47"/>
      <c r="AQK37" s="47"/>
      <c r="AQL37" s="47"/>
      <c r="AQM37" s="47"/>
      <c r="AQN37" s="47"/>
      <c r="AQO37" s="47"/>
      <c r="AQP37" s="47"/>
      <c r="AQQ37" s="47"/>
      <c r="AQR37" s="47"/>
      <c r="AQS37" s="47"/>
      <c r="AQT37" s="47"/>
      <c r="AQU37" s="47"/>
      <c r="AQV37" s="47"/>
      <c r="AQW37" s="47"/>
      <c r="AQX37" s="47"/>
      <c r="AQY37" s="47"/>
      <c r="AQZ37" s="47"/>
      <c r="ARA37" s="47"/>
      <c r="ARB37" s="47"/>
      <c r="ARC37" s="47"/>
      <c r="ARD37" s="47"/>
      <c r="ARE37" s="47"/>
      <c r="ARF37" s="47"/>
      <c r="ARG37" s="47"/>
      <c r="ARH37" s="47"/>
      <c r="ARI37" s="47"/>
      <c r="ARJ37" s="47"/>
      <c r="ARK37" s="47"/>
      <c r="ARL37" s="47"/>
      <c r="ARM37" s="47"/>
      <c r="ARN37" s="47"/>
      <c r="ARO37" s="47"/>
      <c r="ARP37" s="47"/>
      <c r="ARQ37" s="47"/>
      <c r="ARR37" s="47"/>
      <c r="ARS37" s="47"/>
      <c r="ART37" s="47"/>
      <c r="ARU37" s="47"/>
      <c r="ARV37" s="47"/>
      <c r="ARW37" s="47"/>
      <c r="ARX37" s="47"/>
      <c r="ARY37" s="47"/>
      <c r="ARZ37" s="47"/>
      <c r="ASA37" s="47"/>
      <c r="ASB37" s="47"/>
      <c r="ASC37" s="47"/>
      <c r="ASD37" s="47"/>
      <c r="ASE37" s="47"/>
      <c r="ASF37" s="47"/>
      <c r="ASG37" s="47"/>
      <c r="ASH37" s="47"/>
      <c r="ASI37" s="47"/>
      <c r="ASJ37" s="47"/>
      <c r="ASK37" s="47"/>
      <c r="ASL37" s="47"/>
      <c r="ASM37" s="47"/>
      <c r="ASN37" s="47"/>
      <c r="ASO37" s="47"/>
      <c r="ASP37" s="47"/>
      <c r="ASQ37" s="47"/>
      <c r="ASR37" s="47"/>
      <c r="ASS37" s="47"/>
      <c r="AST37" s="47"/>
      <c r="ASU37" s="47"/>
      <c r="ASV37" s="47"/>
      <c r="ASW37" s="47"/>
      <c r="ASX37" s="47"/>
      <c r="ASY37" s="47"/>
      <c r="ASZ37" s="47"/>
      <c r="ATA37" s="47"/>
      <c r="ATB37" s="47"/>
      <c r="ATC37" s="47"/>
      <c r="ATD37" s="47"/>
      <c r="ATE37" s="47"/>
      <c r="ATF37" s="47"/>
      <c r="ATG37" s="47"/>
      <c r="ATH37" s="47"/>
      <c r="ATI37" s="47"/>
      <c r="ATJ37" s="47"/>
      <c r="ATK37" s="47"/>
      <c r="ATL37" s="47"/>
      <c r="ATM37" s="47"/>
      <c r="ATN37" s="47"/>
      <c r="ATO37" s="47"/>
      <c r="ATP37" s="47"/>
      <c r="ATQ37" s="47"/>
      <c r="ATR37" s="47"/>
      <c r="ATS37" s="47"/>
      <c r="ATT37" s="47"/>
      <c r="ATU37" s="47"/>
      <c r="ATV37" s="47"/>
      <c r="ATW37" s="47"/>
      <c r="ATX37" s="47"/>
      <c r="ATY37" s="47"/>
      <c r="ATZ37" s="47"/>
      <c r="AUA37" s="47"/>
      <c r="AUB37" s="47"/>
      <c r="AUC37" s="47"/>
      <c r="AUD37" s="47"/>
      <c r="AUE37" s="47"/>
      <c r="AUF37" s="47"/>
      <c r="AUG37" s="47"/>
      <c r="AUH37" s="47"/>
      <c r="AUI37" s="47"/>
      <c r="AUJ37" s="47"/>
      <c r="AUK37" s="47"/>
      <c r="AUL37" s="47"/>
      <c r="AUM37" s="47"/>
      <c r="AUN37" s="47"/>
      <c r="AUO37" s="47"/>
      <c r="AUP37" s="47"/>
      <c r="AUQ37" s="47"/>
      <c r="AUR37" s="47"/>
      <c r="AUS37" s="47"/>
      <c r="AUT37" s="47"/>
      <c r="AUU37" s="47"/>
      <c r="AUV37" s="47"/>
      <c r="AUW37" s="47"/>
      <c r="AUX37" s="47"/>
      <c r="AUY37" s="47"/>
      <c r="AUZ37" s="47"/>
      <c r="AVA37" s="47"/>
      <c r="AVB37" s="47"/>
      <c r="AVC37" s="47"/>
      <c r="AVD37" s="47"/>
      <c r="AVE37" s="47"/>
      <c r="AVF37" s="47"/>
      <c r="AVG37" s="47"/>
      <c r="AVH37" s="47"/>
      <c r="AVI37" s="47"/>
      <c r="AVJ37" s="47"/>
      <c r="AVK37" s="47"/>
      <c r="AVL37" s="47"/>
      <c r="AVM37" s="47"/>
      <c r="AVN37" s="47"/>
      <c r="AVO37" s="47"/>
      <c r="AVP37" s="47"/>
      <c r="AVQ37" s="47"/>
      <c r="AVR37" s="47"/>
      <c r="AVS37" s="47"/>
      <c r="AVT37" s="47"/>
      <c r="AVU37" s="47"/>
      <c r="AVV37" s="47"/>
      <c r="AVW37" s="47"/>
      <c r="AVX37" s="47"/>
      <c r="AVY37" s="47"/>
      <c r="AVZ37" s="47"/>
      <c r="AWA37" s="47"/>
      <c r="AWB37" s="47"/>
      <c r="AWC37" s="47"/>
      <c r="AWD37" s="47"/>
      <c r="AWE37" s="47"/>
      <c r="AWF37" s="47"/>
      <c r="AWG37" s="47"/>
      <c r="AWH37" s="47"/>
      <c r="AWI37" s="47"/>
      <c r="AWJ37" s="47"/>
      <c r="AWK37" s="47"/>
      <c r="AWL37" s="47"/>
      <c r="AWM37" s="47"/>
      <c r="AWN37" s="47"/>
      <c r="AWO37" s="47"/>
      <c r="AWP37" s="47"/>
      <c r="AWQ37" s="47"/>
      <c r="AWR37" s="47"/>
      <c r="AWS37" s="47"/>
      <c r="AWT37" s="47"/>
      <c r="AWU37" s="47"/>
      <c r="AWV37" s="47"/>
      <c r="AWW37" s="47"/>
      <c r="AWX37" s="47"/>
      <c r="AWY37" s="47"/>
      <c r="AWZ37" s="47"/>
      <c r="AXA37" s="47"/>
      <c r="AXB37" s="47"/>
      <c r="AXC37" s="47"/>
      <c r="AXD37" s="47"/>
      <c r="AXE37" s="47"/>
      <c r="AXF37" s="47"/>
      <c r="AXG37" s="47"/>
      <c r="AXH37" s="47"/>
      <c r="AXI37" s="47"/>
      <c r="AXJ37" s="47"/>
      <c r="AXK37" s="47"/>
      <c r="AXL37" s="47"/>
      <c r="AXM37" s="47"/>
      <c r="AXN37" s="47"/>
      <c r="AXO37" s="47"/>
      <c r="AXP37" s="47"/>
      <c r="AXQ37" s="47"/>
      <c r="AXR37" s="47"/>
      <c r="AXS37" s="47"/>
      <c r="AXT37" s="47"/>
      <c r="AXU37" s="47"/>
      <c r="AXV37" s="47"/>
      <c r="AXW37" s="47"/>
      <c r="AXX37" s="47"/>
      <c r="AXY37" s="47"/>
      <c r="AXZ37" s="47"/>
      <c r="AYA37" s="47"/>
      <c r="AYB37" s="47"/>
      <c r="AYC37" s="47"/>
      <c r="AYD37" s="47"/>
      <c r="AYE37" s="47"/>
      <c r="AYF37" s="47"/>
      <c r="AYG37" s="47"/>
      <c r="AYH37" s="47"/>
      <c r="AYI37" s="47"/>
      <c r="AYJ37" s="47"/>
      <c r="AYK37" s="47"/>
      <c r="AYL37" s="47"/>
      <c r="AYM37" s="47"/>
      <c r="AYN37" s="47"/>
      <c r="AYO37" s="47"/>
      <c r="AYP37" s="47"/>
      <c r="AYQ37" s="47"/>
      <c r="AYR37" s="47"/>
      <c r="AYS37" s="47"/>
      <c r="AYT37" s="47"/>
      <c r="AYU37" s="47"/>
      <c r="AYV37" s="47"/>
      <c r="AYW37" s="47"/>
      <c r="AYX37" s="47"/>
      <c r="AYY37" s="47"/>
      <c r="AYZ37" s="47"/>
      <c r="AZA37" s="47"/>
      <c r="AZB37" s="47"/>
      <c r="AZC37" s="47"/>
      <c r="AZD37" s="47"/>
      <c r="AZE37" s="47"/>
      <c r="AZF37" s="47"/>
      <c r="AZG37" s="47"/>
      <c r="AZH37" s="47"/>
      <c r="AZI37" s="47"/>
      <c r="AZJ37" s="47"/>
      <c r="AZK37" s="47"/>
      <c r="AZL37" s="47"/>
      <c r="AZM37" s="47"/>
      <c r="AZN37" s="47"/>
      <c r="AZO37" s="47"/>
      <c r="AZP37" s="47"/>
      <c r="AZQ37" s="47"/>
      <c r="AZR37" s="47"/>
      <c r="AZS37" s="47"/>
      <c r="AZT37" s="47"/>
      <c r="AZU37" s="47"/>
      <c r="AZV37" s="47"/>
      <c r="AZW37" s="47"/>
      <c r="AZX37" s="47"/>
      <c r="AZY37" s="47"/>
      <c r="AZZ37" s="47"/>
      <c r="BAA37" s="47"/>
      <c r="BAB37" s="47"/>
      <c r="BAC37" s="47"/>
      <c r="BAD37" s="47"/>
      <c r="BAE37" s="47"/>
      <c r="BAF37" s="47"/>
      <c r="BAG37" s="47"/>
      <c r="BAH37" s="47"/>
      <c r="BAI37" s="47"/>
      <c r="BAJ37" s="47"/>
      <c r="BAK37" s="47"/>
      <c r="BAL37" s="47"/>
      <c r="BAM37" s="47"/>
      <c r="BAN37" s="47"/>
      <c r="BAO37" s="47"/>
      <c r="BAP37" s="47"/>
      <c r="BAQ37" s="47"/>
      <c r="BAR37" s="47"/>
      <c r="BAS37" s="47"/>
      <c r="BAT37" s="47"/>
      <c r="BAU37" s="47"/>
      <c r="BAV37" s="47"/>
      <c r="BAW37" s="47"/>
      <c r="BAX37" s="47"/>
      <c r="BAY37" s="47"/>
      <c r="BAZ37" s="47"/>
      <c r="BBA37" s="47"/>
      <c r="BBB37" s="47"/>
      <c r="BBC37" s="47"/>
      <c r="BBD37" s="47"/>
      <c r="BBE37" s="47"/>
      <c r="BBF37" s="47"/>
      <c r="BBG37" s="47"/>
      <c r="BBH37" s="47"/>
      <c r="BBI37" s="47"/>
      <c r="BBJ37" s="47"/>
      <c r="BBK37" s="47"/>
      <c r="BBL37" s="47"/>
      <c r="BBM37" s="47"/>
      <c r="BBN37" s="47"/>
      <c r="BBO37" s="47"/>
      <c r="BBP37" s="47"/>
      <c r="BBQ37" s="47"/>
      <c r="BBR37" s="47"/>
      <c r="BBS37" s="47"/>
      <c r="BBT37" s="47"/>
      <c r="BBU37" s="47"/>
      <c r="BBV37" s="47"/>
      <c r="BBW37" s="47"/>
      <c r="BBX37" s="47"/>
      <c r="BBY37" s="47"/>
      <c r="BBZ37" s="47"/>
      <c r="BCA37" s="47"/>
      <c r="BCB37" s="47"/>
      <c r="BCC37" s="47"/>
      <c r="BCD37" s="47"/>
      <c r="BCE37" s="47"/>
      <c r="BCF37" s="47"/>
      <c r="BCG37" s="47"/>
      <c r="BCH37" s="47"/>
      <c r="BCI37" s="47"/>
      <c r="BCJ37" s="47"/>
      <c r="BCK37" s="47"/>
      <c r="BCL37" s="47"/>
      <c r="BCM37" s="47"/>
      <c r="BCN37" s="47"/>
      <c r="BCO37" s="47"/>
      <c r="BCP37" s="47"/>
      <c r="BCQ37" s="47"/>
      <c r="BCR37" s="47"/>
      <c r="BCS37" s="47"/>
      <c r="BCT37" s="47"/>
      <c r="BCU37" s="47"/>
      <c r="BCV37" s="47"/>
      <c r="BCW37" s="47"/>
      <c r="BCX37" s="47"/>
      <c r="BCY37" s="47"/>
      <c r="BCZ37" s="47"/>
      <c r="BDA37" s="47"/>
      <c r="BDB37" s="47"/>
      <c r="BDC37" s="47"/>
      <c r="BDD37" s="47"/>
      <c r="BDE37" s="47"/>
      <c r="BDF37" s="47"/>
      <c r="BDG37" s="47"/>
      <c r="BDH37" s="47"/>
      <c r="BDI37" s="47"/>
      <c r="BDJ37" s="47"/>
      <c r="BDK37" s="47"/>
      <c r="BDL37" s="47"/>
      <c r="BDM37" s="47"/>
      <c r="BDN37" s="47"/>
      <c r="BDO37" s="47"/>
      <c r="BDP37" s="47"/>
      <c r="BDQ37" s="47"/>
      <c r="BDR37" s="47"/>
      <c r="BDS37" s="47"/>
      <c r="BDT37" s="47"/>
      <c r="BDU37" s="47"/>
      <c r="BDV37" s="47"/>
      <c r="BDW37" s="47"/>
      <c r="BDX37" s="47"/>
      <c r="BDY37" s="47"/>
      <c r="BDZ37" s="47"/>
      <c r="BEA37" s="47"/>
      <c r="BEB37" s="47"/>
      <c r="BEC37" s="47"/>
      <c r="BED37" s="47"/>
      <c r="BEE37" s="47"/>
      <c r="BEF37" s="47"/>
      <c r="BEG37" s="47"/>
      <c r="BEH37" s="47"/>
      <c r="BEI37" s="47"/>
      <c r="BEJ37" s="47"/>
      <c r="BEK37" s="47"/>
      <c r="BEL37" s="47"/>
      <c r="BEM37" s="47"/>
      <c r="BEN37" s="47"/>
      <c r="BEO37" s="47"/>
      <c r="BEP37" s="47"/>
      <c r="BEQ37" s="47"/>
      <c r="BER37" s="47"/>
      <c r="BES37" s="47"/>
      <c r="BET37" s="47"/>
      <c r="BEU37" s="47"/>
      <c r="BEV37" s="47"/>
      <c r="BEW37" s="47"/>
      <c r="BEX37" s="47"/>
      <c r="BEY37" s="47"/>
      <c r="BEZ37" s="47"/>
      <c r="BFA37" s="47"/>
      <c r="BFB37" s="47"/>
      <c r="BFC37" s="47"/>
      <c r="BFD37" s="47"/>
      <c r="BFE37" s="47"/>
      <c r="BFF37" s="47"/>
      <c r="BFG37" s="47"/>
      <c r="BFH37" s="47"/>
      <c r="BFI37" s="47"/>
      <c r="BFJ37" s="47"/>
      <c r="BFK37" s="47"/>
      <c r="BFL37" s="47"/>
      <c r="BFM37" s="47"/>
      <c r="BFN37" s="47"/>
      <c r="BFO37" s="47"/>
      <c r="BFP37" s="47"/>
      <c r="BFQ37" s="47"/>
      <c r="BFR37" s="47"/>
      <c r="BFS37" s="47"/>
      <c r="BFT37" s="47"/>
      <c r="BFU37" s="47"/>
      <c r="BFV37" s="47"/>
      <c r="BFW37" s="47"/>
      <c r="BFX37" s="47"/>
      <c r="BFY37" s="47"/>
      <c r="BFZ37" s="47"/>
      <c r="BGA37" s="47"/>
      <c r="BGB37" s="47"/>
      <c r="BGC37" s="47"/>
      <c r="BGD37" s="47"/>
      <c r="BGE37" s="47"/>
      <c r="BGF37" s="47"/>
      <c r="BGG37" s="47"/>
      <c r="BGH37" s="47"/>
      <c r="BGI37" s="47"/>
      <c r="BGJ37" s="47"/>
      <c r="BGK37" s="47"/>
      <c r="BGL37" s="47"/>
      <c r="BGM37" s="47"/>
      <c r="BGN37" s="47"/>
      <c r="BGO37" s="47"/>
      <c r="BGP37" s="47"/>
      <c r="BGQ37" s="47"/>
      <c r="BGR37" s="47"/>
      <c r="BGS37" s="47"/>
      <c r="BGT37" s="47"/>
      <c r="BGU37" s="47"/>
      <c r="BGV37" s="47"/>
      <c r="BGW37" s="47"/>
      <c r="BGX37" s="47"/>
      <c r="BGY37" s="47"/>
      <c r="BGZ37" s="47"/>
      <c r="BHA37" s="47"/>
      <c r="BHB37" s="47"/>
      <c r="BHC37" s="47"/>
      <c r="BHD37" s="47"/>
      <c r="BHE37" s="47"/>
      <c r="BHF37" s="47"/>
      <c r="BHG37" s="47"/>
      <c r="BHH37" s="47"/>
      <c r="BHI37" s="47"/>
      <c r="BHJ37" s="47"/>
      <c r="BHK37" s="47"/>
      <c r="BHL37" s="47"/>
      <c r="BHM37" s="47"/>
      <c r="BHN37" s="47"/>
      <c r="BHO37" s="47"/>
      <c r="BHP37" s="47"/>
      <c r="BHQ37" s="47"/>
      <c r="BHR37" s="47"/>
      <c r="BHS37" s="47"/>
      <c r="BHT37" s="47"/>
      <c r="BHU37" s="47"/>
      <c r="BHV37" s="47"/>
      <c r="BHW37" s="47"/>
      <c r="BHX37" s="47"/>
      <c r="BHY37" s="47"/>
      <c r="BHZ37" s="47"/>
      <c r="BIA37" s="47"/>
      <c r="BIB37" s="47"/>
      <c r="BIC37" s="47"/>
      <c r="BID37" s="47"/>
      <c r="BIE37" s="47"/>
      <c r="BIF37" s="47"/>
      <c r="BIG37" s="47"/>
      <c r="BIH37" s="47"/>
      <c r="BII37" s="47"/>
      <c r="BIJ37" s="47"/>
      <c r="BIK37" s="47"/>
      <c r="BIL37" s="47"/>
      <c r="BIM37" s="47"/>
      <c r="BIN37" s="47"/>
      <c r="BIO37" s="47"/>
      <c r="BIP37" s="47"/>
      <c r="BIQ37" s="47"/>
      <c r="BIR37" s="47"/>
      <c r="BIS37" s="47"/>
      <c r="BIT37" s="47"/>
      <c r="BIU37" s="47"/>
      <c r="BIV37" s="47"/>
      <c r="BIW37" s="47"/>
      <c r="BIX37" s="47"/>
      <c r="BIY37" s="47"/>
      <c r="BIZ37" s="47"/>
      <c r="BJA37" s="47"/>
      <c r="BJB37" s="47"/>
      <c r="BJC37" s="47"/>
      <c r="BJD37" s="47"/>
      <c r="BJE37" s="47"/>
      <c r="BJF37" s="47"/>
      <c r="BJG37" s="47"/>
      <c r="BJH37" s="47"/>
      <c r="BJI37" s="47"/>
      <c r="BJJ37" s="47"/>
      <c r="BJK37" s="47"/>
      <c r="BJL37" s="47"/>
      <c r="BJM37" s="47"/>
      <c r="BJN37" s="47"/>
      <c r="BJO37" s="47"/>
      <c r="BJP37" s="47"/>
      <c r="BJQ37" s="47"/>
      <c r="BJR37" s="47"/>
      <c r="BJS37" s="47"/>
      <c r="BJT37" s="47"/>
      <c r="BJU37" s="47"/>
      <c r="BJV37" s="47"/>
      <c r="BJW37" s="47"/>
      <c r="BJX37" s="47"/>
      <c r="BJY37" s="47"/>
      <c r="BJZ37" s="47"/>
      <c r="BKA37" s="47"/>
      <c r="BKB37" s="47"/>
      <c r="BKC37" s="47"/>
      <c r="BKD37" s="47"/>
      <c r="BKE37" s="47"/>
      <c r="BKF37" s="47"/>
      <c r="BKG37" s="47"/>
      <c r="BKH37" s="47"/>
      <c r="BKI37" s="47"/>
      <c r="BKJ37" s="47"/>
      <c r="BKK37" s="47"/>
      <c r="BKL37" s="47"/>
      <c r="BKM37" s="47"/>
      <c r="BKN37" s="47"/>
      <c r="BKO37" s="47"/>
      <c r="BKP37" s="47"/>
      <c r="BKQ37" s="47"/>
      <c r="BKR37" s="47"/>
      <c r="BKS37" s="47"/>
      <c r="BKT37" s="47"/>
      <c r="BKU37" s="47"/>
      <c r="BKV37" s="47"/>
      <c r="BKW37" s="47"/>
      <c r="BKX37" s="47"/>
      <c r="BKY37" s="47"/>
      <c r="BKZ37" s="47"/>
      <c r="BLA37" s="47"/>
      <c r="BLB37" s="47"/>
      <c r="BLC37" s="47"/>
      <c r="BLD37" s="47"/>
      <c r="BLE37" s="47"/>
      <c r="BLF37" s="47"/>
      <c r="BLG37" s="47"/>
      <c r="BLH37" s="47"/>
      <c r="BLI37" s="47"/>
      <c r="BLJ37" s="47"/>
      <c r="BLK37" s="47"/>
      <c r="BLL37" s="47"/>
      <c r="BLM37" s="47"/>
      <c r="BLN37" s="47"/>
      <c r="BLO37" s="47"/>
      <c r="BLP37" s="47"/>
      <c r="BLQ37" s="47"/>
      <c r="BLR37" s="47"/>
      <c r="BLS37" s="47"/>
      <c r="BLT37" s="47"/>
      <c r="BLU37" s="47"/>
      <c r="BLV37" s="47"/>
      <c r="BLW37" s="47"/>
      <c r="BLX37" s="47"/>
      <c r="BLY37" s="47"/>
      <c r="BLZ37" s="47"/>
      <c r="BMA37" s="47"/>
      <c r="BMB37" s="47"/>
      <c r="BMC37" s="47"/>
      <c r="BMD37" s="47"/>
      <c r="BME37" s="47"/>
      <c r="BMF37" s="47"/>
      <c r="BMG37" s="47"/>
      <c r="BMH37" s="47"/>
      <c r="BMI37" s="47"/>
      <c r="BMJ37" s="47"/>
      <c r="BMK37" s="47"/>
      <c r="BML37" s="47"/>
      <c r="BMM37" s="47"/>
      <c r="BMN37" s="47"/>
      <c r="BMO37" s="47"/>
      <c r="BMP37" s="47"/>
      <c r="BMQ37" s="47"/>
      <c r="BMR37" s="47"/>
      <c r="BMS37" s="47"/>
      <c r="BMT37" s="47"/>
      <c r="BMU37" s="47"/>
      <c r="BMV37" s="47"/>
      <c r="BMW37" s="47"/>
      <c r="BMX37" s="47"/>
      <c r="BMY37" s="47"/>
      <c r="BMZ37" s="47"/>
      <c r="BNA37" s="47"/>
      <c r="BNB37" s="47"/>
      <c r="BNC37" s="47"/>
      <c r="BND37" s="47"/>
      <c r="BNE37" s="47"/>
      <c r="BNF37" s="47"/>
      <c r="BNG37" s="47"/>
      <c r="BNH37" s="47"/>
      <c r="BNI37" s="47"/>
      <c r="BNJ37" s="47"/>
      <c r="BNK37" s="47"/>
      <c r="BNL37" s="47"/>
      <c r="BNM37" s="47"/>
      <c r="BNN37" s="47"/>
      <c r="BNO37" s="47"/>
      <c r="BNP37" s="47"/>
      <c r="BNQ37" s="47"/>
      <c r="BNR37" s="47"/>
      <c r="BNS37" s="47"/>
      <c r="BNT37" s="47"/>
      <c r="BNU37" s="47"/>
      <c r="BNV37" s="47"/>
      <c r="BNW37" s="47"/>
      <c r="BNX37" s="47"/>
      <c r="BNY37" s="47"/>
      <c r="BNZ37" s="47"/>
      <c r="BOA37" s="47"/>
      <c r="BOB37" s="47"/>
      <c r="BOC37" s="47"/>
      <c r="BOD37" s="47"/>
      <c r="BOE37" s="47"/>
      <c r="BOF37" s="47"/>
      <c r="BOG37" s="47"/>
      <c r="BOH37" s="47"/>
      <c r="BOI37" s="47"/>
      <c r="BOJ37" s="47"/>
      <c r="BOK37" s="47"/>
      <c r="BOL37" s="47"/>
      <c r="BOM37" s="47"/>
      <c r="BON37" s="47"/>
      <c r="BOO37" s="47"/>
      <c r="BOP37" s="47"/>
      <c r="BOQ37" s="47"/>
      <c r="BOR37" s="47"/>
      <c r="BOS37" s="47"/>
      <c r="BOT37" s="47"/>
      <c r="BOU37" s="47"/>
      <c r="BOV37" s="47"/>
      <c r="BOW37" s="47"/>
      <c r="BOX37" s="47"/>
      <c r="BOY37" s="47"/>
      <c r="BOZ37" s="47"/>
      <c r="BPA37" s="47"/>
      <c r="BPB37" s="47"/>
      <c r="BPC37" s="47"/>
      <c r="BPD37" s="47"/>
      <c r="BPE37" s="47"/>
      <c r="BPF37" s="47"/>
      <c r="BPG37" s="47"/>
      <c r="BPH37" s="47"/>
      <c r="BPI37" s="47"/>
      <c r="BPJ37" s="47"/>
      <c r="BPK37" s="47"/>
      <c r="BPL37" s="47"/>
      <c r="BPM37" s="47"/>
      <c r="BPN37" s="47"/>
      <c r="BPO37" s="47"/>
      <c r="BPP37" s="47"/>
      <c r="BPQ37" s="47"/>
      <c r="BPR37" s="47"/>
      <c r="BPS37" s="47"/>
      <c r="BPT37" s="47"/>
      <c r="BPU37" s="47"/>
      <c r="BPV37" s="47"/>
      <c r="BPW37" s="47"/>
      <c r="BPX37" s="47"/>
      <c r="BPY37" s="47"/>
      <c r="BPZ37" s="47"/>
      <c r="BQA37" s="47"/>
      <c r="BQB37" s="47"/>
      <c r="BQC37" s="47"/>
      <c r="BQD37" s="47"/>
      <c r="BQE37" s="47"/>
      <c r="BQF37" s="47"/>
      <c r="BQG37" s="47"/>
      <c r="BQH37" s="47"/>
      <c r="BQI37" s="47"/>
      <c r="BQJ37" s="47"/>
      <c r="BQK37" s="47"/>
      <c r="BQL37" s="47"/>
      <c r="BQM37" s="47"/>
      <c r="BQN37" s="47"/>
      <c r="BQO37" s="47"/>
      <c r="BQP37" s="47"/>
      <c r="BQQ37" s="47"/>
      <c r="BQR37" s="47"/>
      <c r="BQS37" s="47"/>
      <c r="BQT37" s="47"/>
      <c r="BQU37" s="47"/>
      <c r="BQV37" s="47"/>
      <c r="BQW37" s="47"/>
      <c r="BQX37" s="47"/>
      <c r="BQY37" s="47"/>
      <c r="BQZ37" s="47"/>
      <c r="BRA37" s="47"/>
      <c r="BRB37" s="47"/>
      <c r="BRC37" s="47"/>
      <c r="BRD37" s="47"/>
      <c r="BRE37" s="47"/>
      <c r="BRF37" s="47"/>
      <c r="BRG37" s="47"/>
      <c r="BRH37" s="47"/>
      <c r="BRI37" s="47"/>
      <c r="BRJ37" s="47"/>
      <c r="BRK37" s="47"/>
      <c r="BRL37" s="47"/>
      <c r="BRM37" s="47"/>
      <c r="BRN37" s="47"/>
      <c r="BRO37" s="47"/>
      <c r="BRP37" s="47"/>
      <c r="BRQ37" s="47"/>
      <c r="BRR37" s="47"/>
      <c r="BRS37" s="47"/>
      <c r="BRT37" s="47"/>
      <c r="BRU37" s="47"/>
      <c r="BRV37" s="47"/>
      <c r="BRW37" s="47"/>
      <c r="BRX37" s="47"/>
      <c r="BRY37" s="47"/>
      <c r="BRZ37" s="47"/>
      <c r="BSA37" s="47"/>
      <c r="BSB37" s="47"/>
      <c r="BSC37" s="47"/>
      <c r="BSD37" s="47"/>
      <c r="BSE37" s="47"/>
      <c r="BSF37" s="47"/>
      <c r="BSG37" s="47"/>
      <c r="BSH37" s="47"/>
      <c r="BSI37" s="47"/>
      <c r="BSJ37" s="47"/>
      <c r="BSK37" s="47"/>
      <c r="BSL37" s="47"/>
      <c r="BSM37" s="47"/>
      <c r="BSN37" s="47"/>
      <c r="BSO37" s="47"/>
      <c r="BSP37" s="47"/>
      <c r="BSQ37" s="47"/>
      <c r="BSR37" s="47"/>
      <c r="BSS37" s="47"/>
      <c r="BST37" s="47"/>
      <c r="BSU37" s="47"/>
      <c r="BSV37" s="47"/>
      <c r="BSW37" s="47"/>
      <c r="BSX37" s="47"/>
      <c r="BSY37" s="47"/>
      <c r="BSZ37" s="47"/>
      <c r="BTA37" s="47"/>
      <c r="BTB37" s="47"/>
      <c r="BTC37" s="47"/>
      <c r="BTD37" s="47"/>
      <c r="BTE37" s="47"/>
      <c r="BTF37" s="47"/>
      <c r="BTG37" s="47"/>
      <c r="BTH37" s="47"/>
      <c r="BTI37" s="47"/>
      <c r="BTJ37" s="47"/>
      <c r="BTK37" s="47"/>
      <c r="BTL37" s="47"/>
      <c r="BTM37" s="47"/>
      <c r="BTN37" s="47"/>
      <c r="BTO37" s="47"/>
      <c r="BTP37" s="47"/>
      <c r="BTQ37" s="47"/>
      <c r="BTR37" s="47"/>
      <c r="BTS37" s="47"/>
      <c r="BTT37" s="47"/>
      <c r="BTU37" s="47"/>
      <c r="BTV37" s="47"/>
      <c r="BTW37" s="47"/>
      <c r="BTX37" s="47"/>
      <c r="BTY37" s="47"/>
      <c r="BTZ37" s="47"/>
      <c r="BUA37" s="47"/>
      <c r="BUB37" s="47"/>
      <c r="BUC37" s="47"/>
      <c r="BUD37" s="47"/>
      <c r="BUE37" s="47"/>
      <c r="BUF37" s="47"/>
      <c r="BUG37" s="47"/>
      <c r="BUH37" s="47"/>
      <c r="BUI37" s="47"/>
      <c r="BUJ37" s="47"/>
      <c r="BUK37" s="47"/>
      <c r="BUL37" s="47"/>
      <c r="BUM37" s="47"/>
      <c r="BUN37" s="47"/>
      <c r="BUO37" s="47"/>
      <c r="BUP37" s="47"/>
      <c r="BUQ37" s="47"/>
      <c r="BUR37" s="47"/>
      <c r="BUS37" s="47"/>
      <c r="BUT37" s="47"/>
      <c r="BUU37" s="47"/>
      <c r="BUV37" s="47"/>
      <c r="BUW37" s="47"/>
      <c r="BUX37" s="47"/>
      <c r="BUY37" s="47"/>
      <c r="BUZ37" s="47"/>
      <c r="BVA37" s="47"/>
      <c r="BVB37" s="47"/>
      <c r="BVC37" s="47"/>
      <c r="BVD37" s="47"/>
      <c r="BVE37" s="47"/>
      <c r="BVF37" s="47"/>
      <c r="BVG37" s="47"/>
      <c r="BVH37" s="47"/>
      <c r="BVI37" s="47"/>
      <c r="BVJ37" s="47"/>
      <c r="BVK37" s="47"/>
      <c r="BVL37" s="47"/>
      <c r="BVM37" s="47"/>
      <c r="BVN37" s="47"/>
      <c r="BVO37" s="47"/>
      <c r="BVP37" s="47"/>
      <c r="BVQ37" s="47"/>
      <c r="BVR37" s="47"/>
      <c r="BVS37" s="47"/>
      <c r="BVT37" s="47"/>
      <c r="BVU37" s="47"/>
      <c r="BVV37" s="47"/>
      <c r="BVW37" s="47"/>
      <c r="BVX37" s="47"/>
      <c r="BVY37" s="47"/>
      <c r="BVZ37" s="47"/>
      <c r="BWA37" s="47"/>
      <c r="BWB37" s="47"/>
      <c r="BWC37" s="47"/>
      <c r="BWD37" s="47"/>
      <c r="BWE37" s="47"/>
      <c r="BWF37" s="47"/>
      <c r="BWG37" s="47"/>
      <c r="BWH37" s="47"/>
      <c r="BWI37" s="47"/>
      <c r="BWJ37" s="47"/>
      <c r="BWK37" s="47"/>
      <c r="BWL37" s="47"/>
      <c r="BWM37" s="47"/>
      <c r="BWN37" s="47"/>
      <c r="BWO37" s="47"/>
      <c r="BWP37" s="47"/>
      <c r="BWQ37" s="47"/>
      <c r="BWR37" s="47"/>
      <c r="BWS37" s="47"/>
      <c r="BWT37" s="47"/>
      <c r="BWU37" s="47"/>
      <c r="BWV37" s="47"/>
      <c r="BWW37" s="47"/>
      <c r="BWX37" s="47"/>
      <c r="BWY37" s="47"/>
      <c r="BWZ37" s="47"/>
      <c r="BXA37" s="47"/>
      <c r="BXB37" s="47"/>
      <c r="BXC37" s="47"/>
      <c r="BXD37" s="47"/>
      <c r="BXE37" s="47"/>
      <c r="BXF37" s="47"/>
      <c r="BXG37" s="47"/>
      <c r="BXH37" s="47"/>
      <c r="BXI37" s="47"/>
      <c r="BXJ37" s="47"/>
      <c r="BXK37" s="47"/>
      <c r="BXL37" s="47"/>
      <c r="BXM37" s="47"/>
      <c r="BXN37" s="47"/>
      <c r="BXO37" s="47"/>
      <c r="BXP37" s="47"/>
      <c r="BXQ37" s="47"/>
      <c r="BXR37" s="47"/>
      <c r="BXS37" s="47"/>
      <c r="BXT37" s="47"/>
      <c r="BXU37" s="47"/>
      <c r="BXV37" s="47"/>
      <c r="BXW37" s="47"/>
      <c r="BXX37" s="47"/>
      <c r="BXY37" s="47"/>
      <c r="BXZ37" s="47"/>
      <c r="BYA37" s="47"/>
      <c r="BYB37" s="47"/>
      <c r="BYC37" s="47"/>
      <c r="BYD37" s="47"/>
      <c r="BYE37" s="47"/>
      <c r="BYF37" s="47"/>
      <c r="BYG37" s="47"/>
      <c r="BYH37" s="47"/>
      <c r="BYI37" s="47"/>
      <c r="BYJ37" s="47"/>
      <c r="BYK37" s="47"/>
      <c r="BYL37" s="47"/>
      <c r="BYM37" s="47"/>
      <c r="BYN37" s="47"/>
      <c r="BYO37" s="47"/>
      <c r="BYP37" s="47"/>
      <c r="BYQ37" s="47"/>
      <c r="BYR37" s="47"/>
      <c r="BYS37" s="47"/>
      <c r="BYT37" s="47"/>
      <c r="BYU37" s="47"/>
      <c r="BYV37" s="47"/>
      <c r="BYW37" s="47"/>
      <c r="BYX37" s="47"/>
      <c r="BYY37" s="47"/>
      <c r="BYZ37" s="47"/>
      <c r="BZA37" s="47"/>
      <c r="BZB37" s="47"/>
      <c r="BZC37" s="47"/>
      <c r="BZD37" s="47"/>
      <c r="BZE37" s="47"/>
      <c r="BZF37" s="47"/>
      <c r="BZG37" s="47"/>
      <c r="BZH37" s="47"/>
      <c r="BZI37" s="47"/>
      <c r="BZJ37" s="47"/>
      <c r="BZK37" s="47"/>
      <c r="BZL37" s="47"/>
      <c r="BZM37" s="47"/>
      <c r="BZN37" s="47"/>
      <c r="BZO37" s="47"/>
      <c r="BZP37" s="47"/>
      <c r="BZQ37" s="47"/>
      <c r="BZR37" s="47"/>
      <c r="BZS37" s="47"/>
      <c r="BZT37" s="47"/>
      <c r="BZU37" s="47"/>
      <c r="BZV37" s="47"/>
      <c r="BZW37" s="47"/>
      <c r="BZX37" s="47"/>
      <c r="BZY37" s="47"/>
      <c r="BZZ37" s="47"/>
      <c r="CAA37" s="47"/>
      <c r="CAB37" s="47"/>
      <c r="CAC37" s="47"/>
      <c r="CAD37" s="47"/>
      <c r="CAE37" s="47"/>
      <c r="CAF37" s="47"/>
      <c r="CAG37" s="47"/>
      <c r="CAH37" s="47"/>
      <c r="CAI37" s="47"/>
      <c r="CAJ37" s="47"/>
      <c r="CAK37" s="47"/>
      <c r="CAL37" s="47"/>
      <c r="CAM37" s="47"/>
      <c r="CAN37" s="47"/>
      <c r="CAO37" s="47"/>
      <c r="CAP37" s="47"/>
      <c r="CAQ37" s="47"/>
      <c r="CAR37" s="47"/>
      <c r="CAS37" s="47"/>
      <c r="CAT37" s="47"/>
      <c r="CAU37" s="47"/>
      <c r="CAV37" s="47"/>
      <c r="CAW37" s="47"/>
      <c r="CAX37" s="47"/>
      <c r="CAY37" s="47"/>
      <c r="CAZ37" s="47"/>
      <c r="CBA37" s="47"/>
      <c r="CBB37" s="47"/>
      <c r="CBC37" s="47"/>
      <c r="CBD37" s="47"/>
      <c r="CBE37" s="47"/>
      <c r="CBF37" s="47"/>
      <c r="CBG37" s="47"/>
      <c r="CBH37" s="47"/>
      <c r="CBI37" s="47"/>
      <c r="CBJ37" s="47"/>
      <c r="CBK37" s="47"/>
      <c r="CBL37" s="47"/>
      <c r="CBM37" s="47"/>
      <c r="CBN37" s="47"/>
      <c r="CBO37" s="47"/>
      <c r="CBP37" s="47"/>
      <c r="CBQ37" s="47"/>
      <c r="CBR37" s="47"/>
      <c r="CBS37" s="47"/>
      <c r="CBT37" s="47"/>
      <c r="CBU37" s="47"/>
      <c r="CBV37" s="47"/>
      <c r="CBW37" s="47"/>
      <c r="CBX37" s="47"/>
      <c r="CBY37" s="47"/>
      <c r="CBZ37" s="47"/>
      <c r="CCA37" s="47"/>
      <c r="CCB37" s="47"/>
      <c r="CCC37" s="47"/>
      <c r="CCD37" s="47"/>
      <c r="CCE37" s="47"/>
      <c r="CCF37" s="47"/>
      <c r="CCG37" s="47"/>
      <c r="CCH37" s="47"/>
      <c r="CCI37" s="47"/>
      <c r="CCJ37" s="47"/>
      <c r="CCK37" s="47"/>
      <c r="CCL37" s="47"/>
      <c r="CCM37" s="47"/>
      <c r="CCN37" s="47"/>
      <c r="CCO37" s="47"/>
      <c r="CCP37" s="47"/>
      <c r="CCQ37" s="47"/>
      <c r="CCR37" s="47"/>
      <c r="CCS37" s="47"/>
      <c r="CCT37" s="47"/>
      <c r="CCU37" s="47"/>
      <c r="CCV37" s="47"/>
      <c r="CCW37" s="47"/>
      <c r="CCX37" s="47"/>
      <c r="CCY37" s="47"/>
      <c r="CCZ37" s="47"/>
      <c r="CDA37" s="47"/>
      <c r="CDB37" s="47"/>
      <c r="CDC37" s="47"/>
      <c r="CDD37" s="47"/>
      <c r="CDE37" s="47"/>
      <c r="CDF37" s="47"/>
      <c r="CDG37" s="47"/>
      <c r="CDH37" s="47"/>
      <c r="CDI37" s="47"/>
      <c r="CDJ37" s="47"/>
      <c r="CDK37" s="47"/>
      <c r="CDL37" s="47"/>
      <c r="CDM37" s="47"/>
      <c r="CDN37" s="47"/>
      <c r="CDO37" s="47"/>
      <c r="CDP37" s="47"/>
      <c r="CDQ37" s="47"/>
      <c r="CDR37" s="47"/>
      <c r="CDS37" s="47"/>
      <c r="CDT37" s="47"/>
      <c r="CDU37" s="47"/>
      <c r="CDV37" s="47"/>
      <c r="CDW37" s="47"/>
      <c r="CDX37" s="47"/>
      <c r="CDY37" s="47"/>
      <c r="CDZ37" s="47"/>
      <c r="CEA37" s="47"/>
      <c r="CEB37" s="47"/>
      <c r="CEC37" s="47"/>
      <c r="CED37" s="47"/>
      <c r="CEE37" s="47"/>
      <c r="CEF37" s="47"/>
      <c r="CEG37" s="47"/>
      <c r="CEH37" s="47"/>
      <c r="CEI37" s="47"/>
      <c r="CEJ37" s="47"/>
      <c r="CEK37" s="47"/>
      <c r="CEL37" s="47"/>
      <c r="CEM37" s="47"/>
      <c r="CEN37" s="47"/>
      <c r="CEO37" s="47"/>
      <c r="CEP37" s="47"/>
      <c r="CEQ37" s="47"/>
      <c r="CER37" s="47"/>
      <c r="CES37" s="47"/>
      <c r="CET37" s="47"/>
      <c r="CEU37" s="47"/>
      <c r="CEV37" s="47"/>
      <c r="CEW37" s="47"/>
      <c r="CEX37" s="47"/>
      <c r="CEY37" s="47"/>
      <c r="CEZ37" s="47"/>
      <c r="CFA37" s="47"/>
      <c r="CFB37" s="47"/>
      <c r="CFC37" s="47"/>
      <c r="CFD37" s="47"/>
      <c r="CFE37" s="47"/>
      <c r="CFF37" s="47"/>
      <c r="CFG37" s="47"/>
      <c r="CFH37" s="47"/>
      <c r="CFI37" s="47"/>
      <c r="CFJ37" s="47"/>
      <c r="CFK37" s="47"/>
      <c r="CFL37" s="47"/>
      <c r="CFM37" s="47"/>
      <c r="CFN37" s="47"/>
      <c r="CFO37" s="47"/>
      <c r="CFP37" s="47"/>
      <c r="CFQ37" s="47"/>
      <c r="CFR37" s="47"/>
      <c r="CFS37" s="47"/>
      <c r="CFT37" s="47"/>
      <c r="CFU37" s="47"/>
      <c r="CFV37" s="47"/>
      <c r="CFW37" s="47"/>
      <c r="CFX37" s="47"/>
      <c r="CFY37" s="47"/>
      <c r="CFZ37" s="47"/>
      <c r="CGA37" s="47"/>
      <c r="CGB37" s="47"/>
      <c r="CGC37" s="47"/>
      <c r="CGD37" s="47"/>
      <c r="CGE37" s="47"/>
      <c r="CGF37" s="47"/>
      <c r="CGG37" s="47"/>
      <c r="CGH37" s="47"/>
      <c r="CGI37" s="47"/>
      <c r="CGJ37" s="47"/>
      <c r="CGK37" s="47"/>
      <c r="CGL37" s="47"/>
      <c r="CGM37" s="47"/>
      <c r="CGN37" s="47"/>
      <c r="CGO37" s="47"/>
      <c r="CGP37" s="47"/>
      <c r="CGQ37" s="47"/>
      <c r="CGR37" s="47"/>
      <c r="CGS37" s="47"/>
      <c r="CGT37" s="47"/>
      <c r="CGU37" s="47"/>
      <c r="CGV37" s="47"/>
      <c r="CGW37" s="47"/>
      <c r="CGX37" s="47"/>
      <c r="CGY37" s="47"/>
      <c r="CGZ37" s="47"/>
      <c r="CHA37" s="47"/>
      <c r="CHB37" s="47"/>
      <c r="CHC37" s="47"/>
      <c r="CHD37" s="47"/>
      <c r="CHE37" s="47"/>
      <c r="CHF37" s="47"/>
      <c r="CHG37" s="47"/>
      <c r="CHH37" s="47"/>
      <c r="CHI37" s="47"/>
      <c r="CHJ37" s="47"/>
      <c r="CHK37" s="47"/>
      <c r="CHL37" s="47"/>
      <c r="CHM37" s="47"/>
      <c r="CHN37" s="47"/>
      <c r="CHO37" s="47"/>
      <c r="CHP37" s="47"/>
      <c r="CHQ37" s="47"/>
      <c r="CHR37" s="47"/>
      <c r="CHS37" s="47"/>
      <c r="CHT37" s="47"/>
      <c r="CHU37" s="47"/>
      <c r="CHV37" s="47"/>
      <c r="CHW37" s="47"/>
      <c r="CHX37" s="47"/>
      <c r="CHY37" s="47"/>
      <c r="CHZ37" s="47"/>
      <c r="CIA37" s="47"/>
      <c r="CIB37" s="47"/>
      <c r="CIC37" s="47"/>
      <c r="CID37" s="47"/>
      <c r="CIE37" s="47"/>
      <c r="CIF37" s="47"/>
      <c r="CIG37" s="47"/>
      <c r="CIH37" s="47"/>
      <c r="CII37" s="47"/>
      <c r="CIJ37" s="47"/>
      <c r="CIK37" s="47"/>
      <c r="CIL37" s="47"/>
      <c r="CIM37" s="47"/>
      <c r="CIN37" s="47"/>
      <c r="CIO37" s="47"/>
      <c r="CIP37" s="47"/>
      <c r="CIQ37" s="47"/>
      <c r="CIR37" s="47"/>
      <c r="CIS37" s="47"/>
      <c r="CIT37" s="47"/>
      <c r="CIU37" s="47"/>
      <c r="CIV37" s="47"/>
      <c r="CIW37" s="47"/>
      <c r="CIX37" s="47"/>
      <c r="CIY37" s="47"/>
      <c r="CIZ37" s="47"/>
      <c r="CJA37" s="47"/>
      <c r="CJB37" s="47"/>
      <c r="CJC37" s="47"/>
      <c r="CJD37" s="47"/>
      <c r="CJE37" s="47"/>
      <c r="CJF37" s="47"/>
      <c r="CJG37" s="47"/>
      <c r="CJH37" s="47"/>
      <c r="CJI37" s="47"/>
      <c r="CJJ37" s="47"/>
      <c r="CJK37" s="47"/>
      <c r="CJL37" s="47"/>
      <c r="CJM37" s="47"/>
      <c r="CJN37" s="47"/>
      <c r="CJO37" s="47"/>
      <c r="CJP37" s="47"/>
      <c r="CJQ37" s="47"/>
      <c r="CJR37" s="47"/>
      <c r="CJS37" s="47"/>
      <c r="CJT37" s="47"/>
      <c r="CJU37" s="47"/>
      <c r="CJV37" s="47"/>
      <c r="CJW37" s="47"/>
      <c r="CJX37" s="47"/>
      <c r="CJY37" s="47"/>
      <c r="CJZ37" s="47"/>
      <c r="CKA37" s="47"/>
      <c r="CKB37" s="47"/>
      <c r="CKC37" s="47"/>
      <c r="CKD37" s="47"/>
      <c r="CKE37" s="47"/>
      <c r="CKF37" s="47"/>
      <c r="CKG37" s="47"/>
      <c r="CKH37" s="47"/>
      <c r="CKI37" s="47"/>
      <c r="CKJ37" s="47"/>
      <c r="CKK37" s="47"/>
      <c r="CKL37" s="47"/>
      <c r="CKM37" s="47"/>
      <c r="CKN37" s="47"/>
      <c r="CKO37" s="47"/>
      <c r="CKP37" s="47"/>
      <c r="CKQ37" s="47"/>
      <c r="CKR37" s="47"/>
      <c r="CKS37" s="47"/>
      <c r="CKT37" s="47"/>
      <c r="CKU37" s="47"/>
      <c r="CKV37" s="47"/>
      <c r="CKW37" s="47"/>
      <c r="CKX37" s="47"/>
      <c r="CKY37" s="47"/>
      <c r="CKZ37" s="47"/>
      <c r="CLA37" s="47"/>
      <c r="CLB37" s="47"/>
      <c r="CLC37" s="47"/>
      <c r="CLD37" s="47"/>
      <c r="CLE37" s="47"/>
      <c r="CLF37" s="47"/>
      <c r="CLG37" s="47"/>
      <c r="CLH37" s="47"/>
      <c r="CLI37" s="47"/>
      <c r="CLJ37" s="47"/>
      <c r="CLK37" s="47"/>
      <c r="CLL37" s="47"/>
      <c r="CLM37" s="47"/>
      <c r="CLN37" s="47"/>
      <c r="CLO37" s="47"/>
      <c r="CLP37" s="47"/>
      <c r="CLQ37" s="47"/>
      <c r="CLR37" s="47"/>
      <c r="CLS37" s="47"/>
      <c r="CLT37" s="47"/>
      <c r="CLU37" s="47"/>
      <c r="CLV37" s="47"/>
      <c r="CLW37" s="47"/>
      <c r="CLX37" s="47"/>
      <c r="CLY37" s="47"/>
      <c r="CLZ37" s="47"/>
      <c r="CMA37" s="47"/>
      <c r="CMB37" s="47"/>
      <c r="CMC37" s="47"/>
      <c r="CMD37" s="47"/>
      <c r="CME37" s="47"/>
      <c r="CMF37" s="47"/>
      <c r="CMG37" s="47"/>
      <c r="CMH37" s="47"/>
      <c r="CMI37" s="47"/>
      <c r="CMJ37" s="47"/>
      <c r="CMK37" s="47"/>
      <c r="CML37" s="47"/>
      <c r="CMM37" s="47"/>
      <c r="CMN37" s="47"/>
      <c r="CMO37" s="47"/>
      <c r="CMP37" s="47"/>
      <c r="CMQ37" s="47"/>
      <c r="CMR37" s="47"/>
      <c r="CMS37" s="47"/>
      <c r="CMT37" s="47"/>
      <c r="CMU37" s="47"/>
      <c r="CMV37" s="47"/>
      <c r="CMW37" s="47"/>
      <c r="CMX37" s="47"/>
      <c r="CMY37" s="47"/>
      <c r="CMZ37" s="47"/>
      <c r="CNA37" s="47"/>
      <c r="CNB37" s="47"/>
      <c r="CNC37" s="47"/>
      <c r="CND37" s="47"/>
      <c r="CNE37" s="47"/>
      <c r="CNF37" s="47"/>
      <c r="CNG37" s="47"/>
      <c r="CNH37" s="47"/>
      <c r="CNI37" s="47"/>
      <c r="CNJ37" s="47"/>
      <c r="CNK37" s="47"/>
      <c r="CNL37" s="47"/>
      <c r="CNM37" s="47"/>
      <c r="CNN37" s="47"/>
      <c r="CNO37" s="47"/>
      <c r="CNP37" s="47"/>
      <c r="CNQ37" s="47"/>
      <c r="CNR37" s="47"/>
      <c r="CNS37" s="47"/>
      <c r="CNT37" s="47"/>
      <c r="CNU37" s="47"/>
      <c r="CNV37" s="47"/>
      <c r="CNW37" s="47"/>
      <c r="CNX37" s="47"/>
      <c r="CNY37" s="47"/>
      <c r="CNZ37" s="47"/>
      <c r="COA37" s="47"/>
      <c r="COB37" s="47"/>
      <c r="COC37" s="47"/>
      <c r="COD37" s="47"/>
      <c r="COE37" s="47"/>
      <c r="COF37" s="47"/>
      <c r="COG37" s="47"/>
      <c r="COH37" s="47"/>
      <c r="COI37" s="47"/>
      <c r="COJ37" s="47"/>
      <c r="COK37" s="47"/>
      <c r="COL37" s="47"/>
      <c r="COM37" s="47"/>
      <c r="CON37" s="47"/>
      <c r="COO37" s="47"/>
      <c r="COP37" s="47"/>
      <c r="COQ37" s="47"/>
      <c r="COR37" s="47"/>
      <c r="COS37" s="47"/>
      <c r="COT37" s="47"/>
      <c r="COU37" s="47"/>
      <c r="COV37" s="47"/>
      <c r="COW37" s="47"/>
      <c r="COX37" s="47"/>
      <c r="COY37" s="47"/>
      <c r="COZ37" s="47"/>
      <c r="CPA37" s="47"/>
      <c r="CPB37" s="47"/>
      <c r="CPC37" s="47"/>
      <c r="CPD37" s="47"/>
      <c r="CPE37" s="47"/>
      <c r="CPF37" s="47"/>
      <c r="CPG37" s="47"/>
      <c r="CPH37" s="47"/>
      <c r="CPI37" s="47"/>
      <c r="CPJ37" s="47"/>
      <c r="CPK37" s="47"/>
      <c r="CPL37" s="47"/>
      <c r="CPM37" s="47"/>
      <c r="CPN37" s="47"/>
      <c r="CPO37" s="47"/>
      <c r="CPP37" s="47"/>
      <c r="CPQ37" s="47"/>
      <c r="CPR37" s="47"/>
      <c r="CPS37" s="47"/>
      <c r="CPT37" s="47"/>
      <c r="CPU37" s="47"/>
      <c r="CPV37" s="47"/>
      <c r="CPW37" s="47"/>
      <c r="CPX37" s="47"/>
      <c r="CPY37" s="47"/>
      <c r="CPZ37" s="47"/>
      <c r="CQA37" s="47"/>
      <c r="CQB37" s="47"/>
      <c r="CQC37" s="47"/>
      <c r="CQD37" s="47"/>
      <c r="CQE37" s="47"/>
      <c r="CQF37" s="47"/>
      <c r="CQG37" s="47"/>
      <c r="CQH37" s="47"/>
      <c r="CQI37" s="47"/>
      <c r="CQJ37" s="47"/>
      <c r="CQK37" s="47"/>
      <c r="CQL37" s="47"/>
      <c r="CQM37" s="47"/>
      <c r="CQN37" s="47"/>
      <c r="CQO37" s="47"/>
      <c r="CQP37" s="47"/>
      <c r="CQQ37" s="47"/>
      <c r="CQR37" s="47"/>
      <c r="CQS37" s="47"/>
      <c r="CQT37" s="47"/>
      <c r="CQU37" s="47"/>
      <c r="CQV37" s="47"/>
      <c r="CQW37" s="47"/>
      <c r="CQX37" s="47"/>
      <c r="CQY37" s="47"/>
      <c r="CQZ37" s="47"/>
      <c r="CRA37" s="47"/>
      <c r="CRB37" s="47"/>
      <c r="CRC37" s="47"/>
      <c r="CRD37" s="47"/>
      <c r="CRE37" s="47"/>
      <c r="CRF37" s="47"/>
      <c r="CRG37" s="47"/>
      <c r="CRH37" s="47"/>
      <c r="CRI37" s="47"/>
      <c r="CRJ37" s="47"/>
      <c r="CRK37" s="47"/>
      <c r="CRL37" s="47"/>
      <c r="CRM37" s="47"/>
      <c r="CRN37" s="47"/>
      <c r="CRO37" s="47"/>
      <c r="CRP37" s="47"/>
      <c r="CRQ37" s="47"/>
      <c r="CRR37" s="47"/>
      <c r="CRS37" s="47"/>
      <c r="CRT37" s="47"/>
      <c r="CRU37" s="47"/>
      <c r="CRV37" s="47"/>
      <c r="CRW37" s="47"/>
      <c r="CRX37" s="47"/>
      <c r="CRY37" s="47"/>
      <c r="CRZ37" s="47"/>
      <c r="CSA37" s="47"/>
      <c r="CSB37" s="47"/>
      <c r="CSC37" s="47"/>
      <c r="CSD37" s="47"/>
      <c r="CSE37" s="47"/>
      <c r="CSF37" s="47"/>
      <c r="CSG37" s="47"/>
      <c r="CSH37" s="47"/>
      <c r="CSI37" s="47"/>
      <c r="CSJ37" s="47"/>
      <c r="CSK37" s="47"/>
      <c r="CSL37" s="47"/>
      <c r="CSM37" s="47"/>
      <c r="CSN37" s="47"/>
      <c r="CSO37" s="47"/>
      <c r="CSP37" s="47"/>
      <c r="CSQ37" s="47"/>
      <c r="CSR37" s="47"/>
      <c r="CSS37" s="47"/>
      <c r="CST37" s="47"/>
      <c r="CSU37" s="47"/>
      <c r="CSV37" s="47"/>
      <c r="CSW37" s="47"/>
      <c r="CSX37" s="47"/>
      <c r="CSY37" s="47"/>
      <c r="CSZ37" s="47"/>
      <c r="CTA37" s="47"/>
      <c r="CTB37" s="47"/>
      <c r="CTC37" s="47"/>
      <c r="CTD37" s="47"/>
      <c r="CTE37" s="47"/>
      <c r="CTF37" s="47"/>
      <c r="CTG37" s="47"/>
      <c r="CTH37" s="47"/>
      <c r="CTI37" s="47"/>
      <c r="CTJ37" s="47"/>
      <c r="CTK37" s="47"/>
      <c r="CTL37" s="47"/>
      <c r="CTM37" s="47"/>
      <c r="CTN37" s="47"/>
      <c r="CTO37" s="47"/>
      <c r="CTP37" s="47"/>
      <c r="CTQ37" s="47"/>
      <c r="CTR37" s="47"/>
      <c r="CTS37" s="47"/>
      <c r="CTT37" s="47"/>
      <c r="CTU37" s="47"/>
      <c r="CTV37" s="47"/>
      <c r="CTW37" s="47"/>
      <c r="CTX37" s="47"/>
      <c r="CTY37" s="47"/>
      <c r="CTZ37" s="47"/>
      <c r="CUA37" s="47"/>
      <c r="CUB37" s="47"/>
      <c r="CUC37" s="47"/>
      <c r="CUD37" s="47"/>
      <c r="CUE37" s="47"/>
      <c r="CUF37" s="47"/>
      <c r="CUG37" s="47"/>
      <c r="CUH37" s="47"/>
      <c r="CUI37" s="47"/>
      <c r="CUJ37" s="47"/>
      <c r="CUK37" s="47"/>
      <c r="CUL37" s="47"/>
      <c r="CUM37" s="47"/>
      <c r="CUN37" s="47"/>
      <c r="CUO37" s="47"/>
      <c r="CUP37" s="47"/>
      <c r="CUQ37" s="47"/>
      <c r="CUR37" s="47"/>
      <c r="CUS37" s="47"/>
      <c r="CUT37" s="47"/>
      <c r="CUU37" s="47"/>
      <c r="CUV37" s="47"/>
      <c r="CUW37" s="47"/>
      <c r="CUX37" s="47"/>
      <c r="CUY37" s="47"/>
      <c r="CUZ37" s="47"/>
      <c r="CVA37" s="47"/>
      <c r="CVB37" s="47"/>
      <c r="CVC37" s="47"/>
      <c r="CVD37" s="47"/>
      <c r="CVE37" s="47"/>
      <c r="CVF37" s="47"/>
      <c r="CVG37" s="47"/>
      <c r="CVH37" s="47"/>
      <c r="CVI37" s="47"/>
      <c r="CVJ37" s="47"/>
      <c r="CVK37" s="47"/>
      <c r="CVL37" s="47"/>
      <c r="CVM37" s="47"/>
      <c r="CVN37" s="47"/>
      <c r="CVO37" s="47"/>
      <c r="CVP37" s="47"/>
      <c r="CVQ37" s="47"/>
      <c r="CVR37" s="47"/>
      <c r="CVS37" s="47"/>
      <c r="CVT37" s="47"/>
      <c r="CVU37" s="47"/>
      <c r="CVV37" s="47"/>
      <c r="CVW37" s="47"/>
      <c r="CVX37" s="47"/>
      <c r="CVY37" s="47"/>
      <c r="CVZ37" s="47"/>
      <c r="CWA37" s="47"/>
      <c r="CWB37" s="47"/>
      <c r="CWC37" s="47"/>
      <c r="CWD37" s="47"/>
      <c r="CWE37" s="47"/>
      <c r="CWF37" s="47"/>
      <c r="CWG37" s="47"/>
      <c r="CWH37" s="47"/>
      <c r="CWI37" s="47"/>
      <c r="CWJ37" s="47"/>
      <c r="CWK37" s="47"/>
      <c r="CWL37" s="47"/>
      <c r="CWM37" s="47"/>
      <c r="CWN37" s="47"/>
      <c r="CWO37" s="47"/>
      <c r="CWP37" s="47"/>
      <c r="CWQ37" s="47"/>
      <c r="CWR37" s="47"/>
      <c r="CWS37" s="47"/>
      <c r="CWT37" s="47"/>
      <c r="CWU37" s="47"/>
      <c r="CWV37" s="47"/>
      <c r="CWW37" s="47"/>
      <c r="CWX37" s="47"/>
      <c r="CWY37" s="47"/>
      <c r="CWZ37" s="47"/>
      <c r="CXA37" s="47"/>
      <c r="CXB37" s="47"/>
      <c r="CXC37" s="47"/>
      <c r="CXD37" s="47"/>
      <c r="CXE37" s="47"/>
      <c r="CXF37" s="47"/>
      <c r="CXG37" s="47"/>
      <c r="CXH37" s="47"/>
      <c r="CXI37" s="47"/>
      <c r="CXJ37" s="47"/>
      <c r="CXK37" s="47"/>
      <c r="CXL37" s="47"/>
      <c r="CXM37" s="47"/>
      <c r="CXN37" s="47"/>
      <c r="CXO37" s="47"/>
      <c r="CXP37" s="47"/>
      <c r="CXQ37" s="47"/>
      <c r="CXR37" s="47"/>
      <c r="CXS37" s="47"/>
      <c r="CXT37" s="47"/>
      <c r="CXU37" s="47"/>
      <c r="CXV37" s="47"/>
      <c r="CXW37" s="47"/>
      <c r="CXX37" s="47"/>
      <c r="CXY37" s="47"/>
      <c r="CXZ37" s="47"/>
      <c r="CYA37" s="47"/>
      <c r="CYB37" s="47"/>
      <c r="CYC37" s="47"/>
      <c r="CYD37" s="47"/>
      <c r="CYE37" s="47"/>
      <c r="CYF37" s="47"/>
      <c r="CYG37" s="47"/>
      <c r="CYH37" s="47"/>
      <c r="CYI37" s="47"/>
      <c r="CYJ37" s="47"/>
      <c r="CYK37" s="47"/>
      <c r="CYL37" s="47"/>
      <c r="CYM37" s="47"/>
      <c r="CYN37" s="47"/>
      <c r="CYO37" s="47"/>
      <c r="CYP37" s="47"/>
      <c r="CYQ37" s="47"/>
      <c r="CYR37" s="47"/>
      <c r="CYS37" s="47"/>
      <c r="CYT37" s="47"/>
      <c r="CYU37" s="47"/>
      <c r="CYV37" s="47"/>
      <c r="CYW37" s="47"/>
      <c r="CYX37" s="47"/>
      <c r="CYY37" s="47"/>
      <c r="CYZ37" s="47"/>
      <c r="CZA37" s="47"/>
      <c r="CZB37" s="47"/>
      <c r="CZC37" s="47"/>
      <c r="CZD37" s="47"/>
      <c r="CZE37" s="47"/>
      <c r="CZF37" s="47"/>
      <c r="CZG37" s="47"/>
      <c r="CZH37" s="47"/>
      <c r="CZI37" s="47"/>
      <c r="CZJ37" s="47"/>
      <c r="CZK37" s="47"/>
      <c r="CZL37" s="47"/>
      <c r="CZM37" s="47"/>
      <c r="CZN37" s="47"/>
      <c r="CZO37" s="47"/>
      <c r="CZP37" s="47"/>
      <c r="CZQ37" s="47"/>
      <c r="CZR37" s="47"/>
      <c r="CZS37" s="47"/>
      <c r="CZT37" s="47"/>
      <c r="CZU37" s="47"/>
      <c r="CZV37" s="47"/>
      <c r="CZW37" s="47"/>
      <c r="CZX37" s="47"/>
      <c r="CZY37" s="47"/>
      <c r="CZZ37" s="47"/>
      <c r="DAA37" s="47"/>
      <c r="DAB37" s="47"/>
      <c r="DAC37" s="47"/>
      <c r="DAD37" s="47"/>
      <c r="DAE37" s="47"/>
      <c r="DAF37" s="47"/>
      <c r="DAG37" s="47"/>
      <c r="DAH37" s="47"/>
      <c r="DAI37" s="47"/>
      <c r="DAJ37" s="47"/>
      <c r="DAK37" s="47"/>
      <c r="DAL37" s="47"/>
      <c r="DAM37" s="47"/>
      <c r="DAN37" s="47"/>
      <c r="DAO37" s="47"/>
      <c r="DAP37" s="47"/>
      <c r="DAQ37" s="47"/>
      <c r="DAR37" s="47"/>
      <c r="DAS37" s="47"/>
      <c r="DAT37" s="47"/>
      <c r="DAU37" s="47"/>
      <c r="DAV37" s="47"/>
      <c r="DAW37" s="47"/>
      <c r="DAX37" s="47"/>
      <c r="DAY37" s="47"/>
      <c r="DAZ37" s="47"/>
      <c r="DBA37" s="47"/>
      <c r="DBB37" s="47"/>
      <c r="DBC37" s="47"/>
      <c r="DBD37" s="47"/>
      <c r="DBE37" s="47"/>
      <c r="DBF37" s="47"/>
      <c r="DBG37" s="47"/>
      <c r="DBH37" s="47"/>
      <c r="DBI37" s="47"/>
      <c r="DBJ37" s="47"/>
      <c r="DBK37" s="47"/>
      <c r="DBL37" s="47"/>
      <c r="DBM37" s="47"/>
      <c r="DBN37" s="47"/>
      <c r="DBO37" s="47"/>
      <c r="DBP37" s="47"/>
      <c r="DBQ37" s="47"/>
      <c r="DBR37" s="47"/>
      <c r="DBS37" s="47"/>
      <c r="DBT37" s="47"/>
      <c r="DBU37" s="47"/>
      <c r="DBV37" s="47"/>
      <c r="DBW37" s="47"/>
      <c r="DBX37" s="47"/>
      <c r="DBY37" s="47"/>
      <c r="DBZ37" s="47"/>
      <c r="DCA37" s="47"/>
      <c r="DCB37" s="47"/>
      <c r="DCC37" s="47"/>
      <c r="DCD37" s="47"/>
      <c r="DCE37" s="47"/>
      <c r="DCF37" s="47"/>
      <c r="DCG37" s="47"/>
      <c r="DCH37" s="47"/>
      <c r="DCI37" s="47"/>
      <c r="DCJ37" s="47"/>
      <c r="DCK37" s="47"/>
      <c r="DCL37" s="47"/>
      <c r="DCM37" s="47"/>
      <c r="DCN37" s="47"/>
      <c r="DCO37" s="47"/>
      <c r="DCP37" s="47"/>
      <c r="DCQ37" s="47"/>
      <c r="DCR37" s="47"/>
      <c r="DCS37" s="47"/>
      <c r="DCT37" s="47"/>
      <c r="DCU37" s="47"/>
      <c r="DCV37" s="47"/>
      <c r="DCW37" s="47"/>
      <c r="DCX37" s="47"/>
      <c r="DCY37" s="47"/>
      <c r="DCZ37" s="47"/>
      <c r="DDA37" s="47"/>
      <c r="DDB37" s="47"/>
      <c r="DDC37" s="47"/>
      <c r="DDD37" s="47"/>
      <c r="DDE37" s="47"/>
      <c r="DDF37" s="47"/>
      <c r="DDG37" s="47"/>
      <c r="DDH37" s="47"/>
      <c r="DDI37" s="47"/>
      <c r="DDJ37" s="47"/>
      <c r="DDK37" s="47"/>
      <c r="DDL37" s="47"/>
      <c r="DDM37" s="47"/>
      <c r="DDN37" s="47"/>
      <c r="DDO37" s="47"/>
      <c r="DDP37" s="47"/>
      <c r="DDQ37" s="47"/>
      <c r="DDR37" s="47"/>
      <c r="DDS37" s="47"/>
      <c r="DDT37" s="47"/>
      <c r="DDU37" s="47"/>
      <c r="DDV37" s="47"/>
      <c r="DDW37" s="47"/>
      <c r="DDX37" s="47"/>
      <c r="DDY37" s="47"/>
      <c r="DDZ37" s="47"/>
      <c r="DEA37" s="47"/>
      <c r="DEB37" s="47"/>
      <c r="DEC37" s="47"/>
      <c r="DED37" s="47"/>
      <c r="DEE37" s="47"/>
      <c r="DEF37" s="47"/>
      <c r="DEG37" s="47"/>
      <c r="DEH37" s="47"/>
      <c r="DEI37" s="47"/>
      <c r="DEJ37" s="47"/>
      <c r="DEK37" s="47"/>
      <c r="DEL37" s="47"/>
      <c r="DEM37" s="47"/>
      <c r="DEN37" s="47"/>
      <c r="DEO37" s="47"/>
      <c r="DEP37" s="47"/>
      <c r="DEQ37" s="47"/>
      <c r="DER37" s="47"/>
      <c r="DES37" s="47"/>
      <c r="DET37" s="47"/>
      <c r="DEU37" s="47"/>
      <c r="DEV37" s="47"/>
      <c r="DEW37" s="47"/>
      <c r="DEX37" s="47"/>
      <c r="DEY37" s="47"/>
      <c r="DEZ37" s="47"/>
      <c r="DFA37" s="47"/>
      <c r="DFB37" s="47"/>
      <c r="DFC37" s="47"/>
      <c r="DFD37" s="47"/>
      <c r="DFE37" s="47"/>
      <c r="DFF37" s="47"/>
      <c r="DFG37" s="47"/>
      <c r="DFH37" s="47"/>
      <c r="DFI37" s="47"/>
      <c r="DFJ37" s="47"/>
      <c r="DFK37" s="47"/>
      <c r="DFL37" s="47"/>
      <c r="DFM37" s="47"/>
      <c r="DFN37" s="47"/>
      <c r="DFO37" s="47"/>
      <c r="DFP37" s="47"/>
      <c r="DFQ37" s="47"/>
      <c r="DFR37" s="47"/>
      <c r="DFS37" s="47"/>
      <c r="DFT37" s="47"/>
      <c r="DFU37" s="47"/>
      <c r="DFV37" s="47"/>
      <c r="DFW37" s="47"/>
      <c r="DFX37" s="47"/>
      <c r="DFY37" s="47"/>
      <c r="DFZ37" s="47"/>
      <c r="DGA37" s="47"/>
      <c r="DGB37" s="47"/>
      <c r="DGC37" s="47"/>
      <c r="DGD37" s="47"/>
      <c r="DGE37" s="47"/>
      <c r="DGF37" s="47"/>
      <c r="DGG37" s="47"/>
      <c r="DGH37" s="47"/>
      <c r="DGI37" s="47"/>
      <c r="DGJ37" s="47"/>
      <c r="DGK37" s="47"/>
      <c r="DGL37" s="47"/>
      <c r="DGM37" s="47"/>
      <c r="DGN37" s="47"/>
      <c r="DGO37" s="47"/>
      <c r="DGP37" s="47"/>
      <c r="DGQ37" s="47"/>
      <c r="DGR37" s="47"/>
      <c r="DGS37" s="47"/>
      <c r="DGT37" s="47"/>
      <c r="DGU37" s="47"/>
      <c r="DGV37" s="47"/>
      <c r="DGW37" s="47"/>
      <c r="DGX37" s="47"/>
      <c r="DGY37" s="47"/>
      <c r="DGZ37" s="47"/>
      <c r="DHA37" s="47"/>
      <c r="DHB37" s="47"/>
      <c r="DHC37" s="47"/>
      <c r="DHD37" s="47"/>
      <c r="DHE37" s="47"/>
      <c r="DHF37" s="47"/>
      <c r="DHG37" s="47"/>
      <c r="DHH37" s="47"/>
      <c r="DHI37" s="47"/>
      <c r="DHJ37" s="47"/>
      <c r="DHK37" s="47"/>
      <c r="DHL37" s="47"/>
      <c r="DHM37" s="47"/>
      <c r="DHN37" s="47"/>
      <c r="DHO37" s="47"/>
      <c r="DHP37" s="47"/>
      <c r="DHQ37" s="47"/>
      <c r="DHR37" s="47"/>
      <c r="DHS37" s="47"/>
      <c r="DHT37" s="47"/>
      <c r="DHU37" s="47"/>
      <c r="DHV37" s="47"/>
      <c r="DHW37" s="47"/>
      <c r="DHX37" s="47"/>
      <c r="DHY37" s="47"/>
      <c r="DHZ37" s="47"/>
      <c r="DIA37" s="47"/>
      <c r="DIB37" s="47"/>
      <c r="DIC37" s="47"/>
      <c r="DID37" s="47"/>
      <c r="DIE37" s="47"/>
      <c r="DIF37" s="47"/>
      <c r="DIG37" s="47"/>
      <c r="DIH37" s="47"/>
      <c r="DII37" s="47"/>
      <c r="DIJ37" s="47"/>
      <c r="DIK37" s="47"/>
      <c r="DIL37" s="47"/>
      <c r="DIM37" s="47"/>
      <c r="DIN37" s="47"/>
      <c r="DIO37" s="47"/>
      <c r="DIP37" s="47"/>
      <c r="DIQ37" s="47"/>
      <c r="DIR37" s="47"/>
      <c r="DIS37" s="47"/>
      <c r="DIT37" s="47"/>
      <c r="DIU37" s="47"/>
      <c r="DIV37" s="47"/>
      <c r="DIW37" s="47"/>
      <c r="DIX37" s="47"/>
      <c r="DIY37" s="47"/>
      <c r="DIZ37" s="47"/>
      <c r="DJA37" s="47"/>
      <c r="DJB37" s="47"/>
      <c r="DJC37" s="47"/>
      <c r="DJD37" s="47"/>
      <c r="DJE37" s="47"/>
      <c r="DJF37" s="47"/>
      <c r="DJG37" s="47"/>
      <c r="DJH37" s="47"/>
      <c r="DJI37" s="47"/>
      <c r="DJJ37" s="47"/>
      <c r="DJK37" s="47"/>
      <c r="DJL37" s="47"/>
      <c r="DJM37" s="47"/>
      <c r="DJN37" s="47"/>
      <c r="DJO37" s="47"/>
      <c r="DJP37" s="47"/>
      <c r="DJQ37" s="47"/>
      <c r="DJR37" s="47"/>
      <c r="DJS37" s="47"/>
      <c r="DJT37" s="47"/>
      <c r="DJU37" s="47"/>
      <c r="DJV37" s="47"/>
      <c r="DJW37" s="47"/>
      <c r="DJX37" s="47"/>
      <c r="DJY37" s="47"/>
      <c r="DJZ37" s="47"/>
      <c r="DKA37" s="47"/>
      <c r="DKB37" s="47"/>
      <c r="DKC37" s="47"/>
      <c r="DKD37" s="47"/>
      <c r="DKE37" s="47"/>
      <c r="DKF37" s="47"/>
      <c r="DKG37" s="47"/>
      <c r="DKH37" s="47"/>
      <c r="DKI37" s="47"/>
      <c r="DKJ37" s="47"/>
      <c r="DKK37" s="47"/>
      <c r="DKL37" s="47"/>
      <c r="DKM37" s="47"/>
      <c r="DKN37" s="47"/>
      <c r="DKO37" s="47"/>
      <c r="DKP37" s="47"/>
      <c r="DKQ37" s="47"/>
      <c r="DKR37" s="47"/>
      <c r="DKS37" s="47"/>
      <c r="DKT37" s="47"/>
      <c r="DKU37" s="47"/>
      <c r="DKV37" s="47"/>
      <c r="DKW37" s="47"/>
      <c r="DKX37" s="47"/>
      <c r="DKY37" s="47"/>
      <c r="DKZ37" s="47"/>
      <c r="DLA37" s="47"/>
      <c r="DLB37" s="47"/>
      <c r="DLC37" s="47"/>
      <c r="DLD37" s="47"/>
      <c r="DLE37" s="47"/>
      <c r="DLF37" s="47"/>
      <c r="DLG37" s="47"/>
      <c r="DLH37" s="47"/>
      <c r="DLI37" s="47"/>
      <c r="DLJ37" s="47"/>
      <c r="DLK37" s="47"/>
      <c r="DLL37" s="47"/>
      <c r="DLM37" s="47"/>
      <c r="DLN37" s="47"/>
      <c r="DLO37" s="47"/>
      <c r="DLP37" s="47"/>
      <c r="DLQ37" s="47"/>
      <c r="DLR37" s="47"/>
      <c r="DLS37" s="47"/>
      <c r="DLT37" s="47"/>
      <c r="DLU37" s="47"/>
      <c r="DLV37" s="47"/>
      <c r="DLW37" s="47"/>
      <c r="DLX37" s="47"/>
      <c r="DLY37" s="47"/>
      <c r="DLZ37" s="47"/>
      <c r="DMA37" s="47"/>
      <c r="DMB37" s="47"/>
      <c r="DMC37" s="47"/>
      <c r="DMD37" s="47"/>
      <c r="DME37" s="47"/>
      <c r="DMF37" s="47"/>
      <c r="DMG37" s="47"/>
      <c r="DMH37" s="47"/>
      <c r="DMI37" s="47"/>
      <c r="DMJ37" s="47"/>
      <c r="DMK37" s="47"/>
      <c r="DML37" s="47"/>
      <c r="DMM37" s="47"/>
      <c r="DMN37" s="47"/>
      <c r="DMO37" s="47"/>
      <c r="DMP37" s="47"/>
      <c r="DMQ37" s="47"/>
      <c r="DMR37" s="47"/>
      <c r="DMS37" s="47"/>
      <c r="DMT37" s="47"/>
      <c r="DMU37" s="47"/>
      <c r="DMV37" s="47"/>
      <c r="DMW37" s="47"/>
      <c r="DMX37" s="47"/>
      <c r="DMY37" s="47"/>
      <c r="DMZ37" s="47"/>
      <c r="DNA37" s="47"/>
      <c r="DNB37" s="47"/>
      <c r="DNC37" s="47"/>
      <c r="DND37" s="47"/>
      <c r="DNE37" s="47"/>
      <c r="DNF37" s="47"/>
      <c r="DNG37" s="47"/>
      <c r="DNH37" s="47"/>
      <c r="DNI37" s="47"/>
      <c r="DNJ37" s="47"/>
      <c r="DNK37" s="47"/>
      <c r="DNL37" s="47"/>
      <c r="DNM37" s="47"/>
      <c r="DNN37" s="47"/>
      <c r="DNO37" s="47"/>
      <c r="DNP37" s="47"/>
      <c r="DNQ37" s="47"/>
      <c r="DNR37" s="47"/>
      <c r="DNS37" s="47"/>
      <c r="DNT37" s="47"/>
      <c r="DNU37" s="47"/>
      <c r="DNV37" s="47"/>
      <c r="DNW37" s="47"/>
      <c r="DNX37" s="47"/>
      <c r="DNY37" s="47"/>
      <c r="DNZ37" s="47"/>
      <c r="DOA37" s="47"/>
      <c r="DOB37" s="47"/>
      <c r="DOC37" s="47"/>
      <c r="DOD37" s="47"/>
      <c r="DOE37" s="47"/>
      <c r="DOF37" s="47"/>
      <c r="DOG37" s="47"/>
      <c r="DOH37" s="47"/>
      <c r="DOI37" s="47"/>
      <c r="DOJ37" s="47"/>
      <c r="DOK37" s="47"/>
      <c r="DOL37" s="47"/>
      <c r="DOM37" s="47"/>
      <c r="DON37" s="47"/>
      <c r="DOO37" s="47"/>
      <c r="DOP37" s="47"/>
      <c r="DOQ37" s="47"/>
      <c r="DOR37" s="47"/>
      <c r="DOS37" s="47"/>
      <c r="DOT37" s="47"/>
      <c r="DOU37" s="47"/>
      <c r="DOV37" s="47"/>
      <c r="DOW37" s="47"/>
      <c r="DOX37" s="47"/>
      <c r="DOY37" s="47"/>
      <c r="DOZ37" s="47"/>
      <c r="DPA37" s="47"/>
      <c r="DPB37" s="47"/>
      <c r="DPC37" s="47"/>
      <c r="DPD37" s="47"/>
      <c r="DPE37" s="47"/>
      <c r="DPF37" s="47"/>
      <c r="DPG37" s="47"/>
      <c r="DPH37" s="47"/>
      <c r="DPI37" s="47"/>
      <c r="DPJ37" s="47"/>
      <c r="DPK37" s="47"/>
      <c r="DPL37" s="47"/>
      <c r="DPM37" s="47"/>
      <c r="DPN37" s="47"/>
      <c r="DPO37" s="47"/>
      <c r="DPP37" s="47"/>
      <c r="DPQ37" s="47"/>
      <c r="DPR37" s="47"/>
      <c r="DPS37" s="47"/>
      <c r="DPT37" s="47"/>
      <c r="DPU37" s="47"/>
      <c r="DPV37" s="47"/>
      <c r="DPW37" s="47"/>
      <c r="DPX37" s="47"/>
      <c r="DPY37" s="47"/>
      <c r="DPZ37" s="47"/>
      <c r="DQA37" s="47"/>
      <c r="DQB37" s="47"/>
      <c r="DQC37" s="47"/>
      <c r="DQD37" s="47"/>
      <c r="DQE37" s="47"/>
      <c r="DQF37" s="47"/>
      <c r="DQG37" s="47"/>
      <c r="DQH37" s="47"/>
      <c r="DQI37" s="47"/>
      <c r="DQJ37" s="47"/>
      <c r="DQK37" s="47"/>
      <c r="DQL37" s="47"/>
      <c r="DQM37" s="47"/>
      <c r="DQN37" s="47"/>
      <c r="DQO37" s="47"/>
      <c r="DQP37" s="47"/>
      <c r="DQQ37" s="47"/>
      <c r="DQR37" s="47"/>
      <c r="DQS37" s="47"/>
      <c r="DQT37" s="47"/>
      <c r="DQU37" s="47"/>
      <c r="DQV37" s="47"/>
      <c r="DQW37" s="47"/>
      <c r="DQX37" s="47"/>
      <c r="DQY37" s="47"/>
      <c r="DQZ37" s="47"/>
      <c r="DRA37" s="47"/>
      <c r="DRB37" s="47"/>
      <c r="DRC37" s="47"/>
      <c r="DRD37" s="47"/>
      <c r="DRE37" s="47"/>
      <c r="DRF37" s="47"/>
      <c r="DRG37" s="47"/>
      <c r="DRH37" s="47"/>
      <c r="DRI37" s="47"/>
      <c r="DRJ37" s="47"/>
      <c r="DRK37" s="47"/>
      <c r="DRL37" s="47"/>
      <c r="DRM37" s="47"/>
      <c r="DRN37" s="47"/>
      <c r="DRO37" s="47"/>
      <c r="DRP37" s="47"/>
      <c r="DRQ37" s="47"/>
      <c r="DRR37" s="47"/>
      <c r="DRS37" s="47"/>
      <c r="DRT37" s="47"/>
      <c r="DRU37" s="47"/>
      <c r="DRV37" s="47"/>
      <c r="DRW37" s="47"/>
      <c r="DRX37" s="47"/>
      <c r="DRY37" s="47"/>
      <c r="DRZ37" s="47"/>
      <c r="DSA37" s="47"/>
      <c r="DSB37" s="47"/>
      <c r="DSC37" s="47"/>
      <c r="DSD37" s="47"/>
      <c r="DSE37" s="47"/>
      <c r="DSF37" s="47"/>
      <c r="DSG37" s="47"/>
      <c r="DSH37" s="47"/>
      <c r="DSI37" s="47"/>
      <c r="DSJ37" s="47"/>
      <c r="DSK37" s="47"/>
      <c r="DSL37" s="47"/>
      <c r="DSM37" s="47"/>
      <c r="DSN37" s="47"/>
      <c r="DSO37" s="47"/>
      <c r="DSP37" s="47"/>
      <c r="DSQ37" s="47"/>
      <c r="DSR37" s="47"/>
      <c r="DSS37" s="47"/>
      <c r="DST37" s="47"/>
      <c r="DSU37" s="47"/>
      <c r="DSV37" s="47"/>
      <c r="DSW37" s="47"/>
      <c r="DSX37" s="47"/>
      <c r="DSY37" s="47"/>
      <c r="DSZ37" s="47"/>
      <c r="DTA37" s="47"/>
      <c r="DTB37" s="47"/>
      <c r="DTC37" s="47"/>
      <c r="DTD37" s="47"/>
      <c r="DTE37" s="47"/>
      <c r="DTF37" s="47"/>
      <c r="DTG37" s="47"/>
      <c r="DTH37" s="47"/>
      <c r="DTI37" s="47"/>
      <c r="DTJ37" s="47"/>
      <c r="DTK37" s="47"/>
      <c r="DTL37" s="47"/>
      <c r="DTM37" s="47"/>
      <c r="DTN37" s="47"/>
      <c r="DTO37" s="47"/>
      <c r="DTP37" s="47"/>
      <c r="DTQ37" s="47"/>
      <c r="DTR37" s="47"/>
      <c r="DTS37" s="47"/>
      <c r="DTT37" s="47"/>
      <c r="DTU37" s="47"/>
      <c r="DTV37" s="47"/>
      <c r="DTW37" s="47"/>
      <c r="DTX37" s="47"/>
      <c r="DTY37" s="47"/>
      <c r="DTZ37" s="47"/>
      <c r="DUA37" s="47"/>
      <c r="DUB37" s="47"/>
      <c r="DUC37" s="47"/>
      <c r="DUD37" s="47"/>
      <c r="DUE37" s="47"/>
      <c r="DUF37" s="47"/>
      <c r="DUG37" s="47"/>
      <c r="DUH37" s="47"/>
      <c r="DUI37" s="47"/>
      <c r="DUJ37" s="47"/>
      <c r="DUK37" s="47"/>
      <c r="DUL37" s="47"/>
      <c r="DUM37" s="47"/>
      <c r="DUN37" s="47"/>
      <c r="DUO37" s="47"/>
      <c r="DUP37" s="47"/>
      <c r="DUQ37" s="47"/>
      <c r="DUR37" s="47"/>
      <c r="DUS37" s="47"/>
      <c r="DUT37" s="47"/>
      <c r="DUU37" s="47"/>
      <c r="DUV37" s="47"/>
      <c r="DUW37" s="47"/>
      <c r="DUX37" s="47"/>
      <c r="DUY37" s="47"/>
      <c r="DUZ37" s="47"/>
      <c r="DVA37" s="47"/>
      <c r="DVB37" s="47"/>
      <c r="DVC37" s="47"/>
      <c r="DVD37" s="47"/>
      <c r="DVE37" s="47"/>
      <c r="DVF37" s="47"/>
      <c r="DVG37" s="47"/>
      <c r="DVH37" s="47"/>
      <c r="DVI37" s="47"/>
      <c r="DVJ37" s="47"/>
      <c r="DVK37" s="47"/>
      <c r="DVL37" s="47"/>
      <c r="DVM37" s="47"/>
      <c r="DVN37" s="47"/>
      <c r="DVO37" s="47"/>
      <c r="DVP37" s="47"/>
      <c r="DVQ37" s="47"/>
      <c r="DVR37" s="47"/>
      <c r="DVS37" s="47"/>
      <c r="DVT37" s="47"/>
      <c r="DVU37" s="47"/>
      <c r="DVV37" s="47"/>
      <c r="DVW37" s="47"/>
      <c r="DVX37" s="47"/>
      <c r="DVY37" s="47"/>
      <c r="DVZ37" s="47"/>
      <c r="DWA37" s="47"/>
      <c r="DWB37" s="47"/>
      <c r="DWC37" s="47"/>
      <c r="DWD37" s="47"/>
      <c r="DWE37" s="47"/>
      <c r="DWF37" s="47"/>
      <c r="DWG37" s="47"/>
      <c r="DWH37" s="47"/>
      <c r="DWI37" s="47"/>
      <c r="DWJ37" s="47"/>
      <c r="DWK37" s="47"/>
      <c r="DWL37" s="47"/>
      <c r="DWM37" s="47"/>
      <c r="DWN37" s="47"/>
      <c r="DWO37" s="47"/>
      <c r="DWP37" s="47"/>
      <c r="DWQ37" s="47"/>
      <c r="DWR37" s="47"/>
      <c r="DWS37" s="47"/>
      <c r="DWT37" s="47"/>
      <c r="DWU37" s="47"/>
      <c r="DWV37" s="47"/>
      <c r="DWW37" s="47"/>
      <c r="DWX37" s="47"/>
      <c r="DWY37" s="47"/>
      <c r="DWZ37" s="47"/>
      <c r="DXA37" s="47"/>
      <c r="DXB37" s="47"/>
      <c r="DXC37" s="47"/>
      <c r="DXD37" s="47"/>
      <c r="DXE37" s="47"/>
      <c r="DXF37" s="47"/>
      <c r="DXG37" s="47"/>
      <c r="DXH37" s="47"/>
      <c r="DXI37" s="47"/>
      <c r="DXJ37" s="47"/>
      <c r="DXK37" s="47"/>
      <c r="DXL37" s="47"/>
      <c r="DXM37" s="47"/>
      <c r="DXN37" s="47"/>
      <c r="DXO37" s="47"/>
      <c r="DXP37" s="47"/>
      <c r="DXQ37" s="47"/>
      <c r="DXR37" s="47"/>
      <c r="DXS37" s="47"/>
      <c r="DXT37" s="47"/>
      <c r="DXU37" s="47"/>
      <c r="DXV37" s="47"/>
      <c r="DXW37" s="47"/>
      <c r="DXX37" s="47"/>
      <c r="DXY37" s="47"/>
      <c r="DXZ37" s="47"/>
      <c r="DYA37" s="47"/>
      <c r="DYB37" s="47"/>
      <c r="DYC37" s="47"/>
      <c r="DYD37" s="47"/>
      <c r="DYE37" s="47"/>
      <c r="DYF37" s="47"/>
      <c r="DYG37" s="47"/>
      <c r="DYH37" s="47"/>
      <c r="DYI37" s="47"/>
      <c r="DYJ37" s="47"/>
      <c r="DYK37" s="47"/>
      <c r="DYL37" s="47"/>
      <c r="DYM37" s="47"/>
      <c r="DYN37" s="47"/>
      <c r="DYO37" s="47"/>
      <c r="DYP37" s="47"/>
      <c r="DYQ37" s="47"/>
      <c r="DYR37" s="47"/>
      <c r="DYS37" s="47"/>
      <c r="DYT37" s="47"/>
      <c r="DYU37" s="47"/>
      <c r="DYV37" s="47"/>
      <c r="DYW37" s="47"/>
      <c r="DYX37" s="47"/>
      <c r="DYY37" s="47"/>
      <c r="DYZ37" s="47"/>
      <c r="DZA37" s="47"/>
      <c r="DZB37" s="47"/>
      <c r="DZC37" s="47"/>
      <c r="DZD37" s="47"/>
      <c r="DZE37" s="47"/>
      <c r="DZF37" s="47"/>
      <c r="DZG37" s="47"/>
      <c r="DZH37" s="47"/>
      <c r="DZI37" s="47"/>
      <c r="DZJ37" s="47"/>
      <c r="DZK37" s="47"/>
      <c r="DZL37" s="47"/>
      <c r="DZM37" s="47"/>
      <c r="DZN37" s="47"/>
      <c r="DZO37" s="47"/>
      <c r="DZP37" s="47"/>
      <c r="DZQ37" s="47"/>
      <c r="DZR37" s="47"/>
      <c r="DZS37" s="47"/>
      <c r="DZT37" s="47"/>
      <c r="DZU37" s="47"/>
      <c r="DZV37" s="47"/>
      <c r="DZW37" s="47"/>
      <c r="DZX37" s="47"/>
      <c r="DZY37" s="47"/>
      <c r="DZZ37" s="47"/>
      <c r="EAA37" s="47"/>
      <c r="EAB37" s="47"/>
      <c r="EAC37" s="47"/>
      <c r="EAD37" s="47"/>
      <c r="EAE37" s="47"/>
      <c r="EAF37" s="47"/>
      <c r="EAG37" s="47"/>
      <c r="EAH37" s="47"/>
      <c r="EAI37" s="47"/>
      <c r="EAJ37" s="47"/>
      <c r="EAK37" s="47"/>
      <c r="EAL37" s="47"/>
      <c r="EAM37" s="47"/>
      <c r="EAN37" s="47"/>
      <c r="EAO37" s="47"/>
      <c r="EAP37" s="47"/>
      <c r="EAQ37" s="47"/>
      <c r="EAR37" s="47"/>
      <c r="EAS37" s="47"/>
      <c r="EAT37" s="47"/>
      <c r="EAU37" s="47"/>
      <c r="EAV37" s="47"/>
      <c r="EAW37" s="47"/>
      <c r="EAX37" s="47"/>
      <c r="EAY37" s="47"/>
      <c r="EAZ37" s="47"/>
      <c r="EBA37" s="47"/>
      <c r="EBB37" s="47"/>
      <c r="EBC37" s="47"/>
      <c r="EBD37" s="47"/>
      <c r="EBE37" s="47"/>
      <c r="EBF37" s="47"/>
      <c r="EBG37" s="47"/>
      <c r="EBH37" s="47"/>
      <c r="EBI37" s="47"/>
      <c r="EBJ37" s="47"/>
      <c r="EBK37" s="47"/>
      <c r="EBL37" s="47"/>
      <c r="EBM37" s="47"/>
      <c r="EBN37" s="47"/>
      <c r="EBO37" s="47"/>
      <c r="EBP37" s="47"/>
      <c r="EBQ37" s="47"/>
      <c r="EBR37" s="47"/>
      <c r="EBS37" s="47"/>
      <c r="EBT37" s="47"/>
      <c r="EBU37" s="47"/>
      <c r="EBV37" s="47"/>
      <c r="EBW37" s="47"/>
      <c r="EBX37" s="47"/>
      <c r="EBY37" s="47"/>
      <c r="EBZ37" s="47"/>
      <c r="ECA37" s="47"/>
      <c r="ECB37" s="47"/>
      <c r="ECC37" s="47"/>
      <c r="ECD37" s="47"/>
      <c r="ECE37" s="47"/>
      <c r="ECF37" s="47"/>
      <c r="ECG37" s="47"/>
      <c r="ECH37" s="47"/>
      <c r="ECI37" s="47"/>
      <c r="ECJ37" s="47"/>
      <c r="ECK37" s="47"/>
      <c r="ECL37" s="47"/>
      <c r="ECM37" s="47"/>
      <c r="ECN37" s="47"/>
      <c r="ECO37" s="47"/>
      <c r="ECP37" s="47"/>
      <c r="ECQ37" s="47"/>
      <c r="ECR37" s="47"/>
      <c r="ECS37" s="47"/>
      <c r="ECT37" s="47"/>
      <c r="ECU37" s="47"/>
      <c r="ECV37" s="47"/>
      <c r="ECW37" s="47"/>
      <c r="ECX37" s="47"/>
      <c r="ECY37" s="47"/>
      <c r="ECZ37" s="47"/>
      <c r="EDA37" s="47"/>
      <c r="EDB37" s="47"/>
      <c r="EDC37" s="47"/>
      <c r="EDD37" s="47"/>
      <c r="EDE37" s="47"/>
      <c r="EDF37" s="47"/>
      <c r="EDG37" s="47"/>
      <c r="EDH37" s="47"/>
      <c r="EDI37" s="47"/>
      <c r="EDJ37" s="47"/>
      <c r="EDK37" s="47"/>
      <c r="EDL37" s="47"/>
      <c r="EDM37" s="47"/>
      <c r="EDN37" s="47"/>
      <c r="EDO37" s="47"/>
      <c r="EDP37" s="47"/>
      <c r="EDQ37" s="47"/>
      <c r="EDR37" s="47"/>
      <c r="EDS37" s="47"/>
      <c r="EDT37" s="47"/>
      <c r="EDU37" s="47"/>
      <c r="EDV37" s="47"/>
      <c r="EDW37" s="47"/>
      <c r="EDX37" s="47"/>
      <c r="EDY37" s="47"/>
      <c r="EDZ37" s="47"/>
      <c r="EEA37" s="47"/>
      <c r="EEB37" s="47"/>
      <c r="EEC37" s="47"/>
      <c r="EED37" s="47"/>
      <c r="EEE37" s="47"/>
      <c r="EEF37" s="47"/>
      <c r="EEG37" s="47"/>
      <c r="EEH37" s="47"/>
      <c r="EEI37" s="47"/>
      <c r="EEJ37" s="47"/>
      <c r="EEK37" s="47"/>
      <c r="EEL37" s="47"/>
      <c r="EEM37" s="47"/>
      <c r="EEN37" s="47"/>
      <c r="EEO37" s="47"/>
      <c r="EEP37" s="47"/>
      <c r="EEQ37" s="47"/>
      <c r="EER37" s="47"/>
      <c r="EES37" s="47"/>
      <c r="EET37" s="47"/>
      <c r="EEU37" s="47"/>
      <c r="EEV37" s="47"/>
      <c r="EEW37" s="47"/>
      <c r="EEX37" s="47"/>
      <c r="EEY37" s="47"/>
      <c r="EEZ37" s="47"/>
      <c r="EFA37" s="47"/>
      <c r="EFB37" s="47"/>
      <c r="EFC37" s="47"/>
      <c r="EFD37" s="47"/>
      <c r="EFE37" s="47"/>
      <c r="EFF37" s="47"/>
      <c r="EFG37" s="47"/>
      <c r="EFH37" s="47"/>
      <c r="EFI37" s="47"/>
      <c r="EFJ37" s="47"/>
      <c r="EFK37" s="47"/>
      <c r="EFL37" s="47"/>
      <c r="EFM37" s="47"/>
      <c r="EFN37" s="47"/>
      <c r="EFO37" s="47"/>
      <c r="EFP37" s="47"/>
      <c r="EFQ37" s="47"/>
      <c r="EFR37" s="47"/>
      <c r="EFS37" s="47"/>
      <c r="EFT37" s="47"/>
      <c r="EFU37" s="47"/>
      <c r="EFV37" s="47"/>
      <c r="EFW37" s="47"/>
      <c r="EFX37" s="47"/>
      <c r="EFY37" s="47"/>
      <c r="EFZ37" s="47"/>
      <c r="EGA37" s="47"/>
      <c r="EGB37" s="47"/>
      <c r="EGC37" s="47"/>
      <c r="EGD37" s="47"/>
      <c r="EGE37" s="47"/>
      <c r="EGF37" s="47"/>
      <c r="EGG37" s="47"/>
      <c r="EGH37" s="47"/>
      <c r="EGI37" s="47"/>
      <c r="EGJ37" s="47"/>
      <c r="EGK37" s="47"/>
      <c r="EGL37" s="47"/>
      <c r="EGM37" s="47"/>
      <c r="EGN37" s="47"/>
      <c r="EGO37" s="47"/>
      <c r="EGP37" s="47"/>
      <c r="EGQ37" s="47"/>
      <c r="EGR37" s="47"/>
      <c r="EGS37" s="47"/>
      <c r="EGT37" s="47"/>
      <c r="EGU37" s="47"/>
      <c r="EGV37" s="47"/>
      <c r="EGW37" s="47"/>
      <c r="EGX37" s="47"/>
      <c r="EGY37" s="47"/>
      <c r="EGZ37" s="47"/>
      <c r="EHA37" s="47"/>
      <c r="EHB37" s="47"/>
      <c r="EHC37" s="47"/>
      <c r="EHD37" s="47"/>
      <c r="EHE37" s="47"/>
      <c r="EHF37" s="47"/>
      <c r="EHG37" s="47"/>
      <c r="EHH37" s="47"/>
      <c r="EHI37" s="47"/>
      <c r="EHJ37" s="47"/>
      <c r="EHK37" s="47"/>
      <c r="EHL37" s="47"/>
      <c r="EHM37" s="47"/>
      <c r="EHN37" s="47"/>
      <c r="EHO37" s="47"/>
      <c r="EHP37" s="47"/>
      <c r="EHQ37" s="47"/>
      <c r="EHR37" s="47"/>
      <c r="EHS37" s="47"/>
      <c r="EHT37" s="47"/>
      <c r="EHU37" s="47"/>
      <c r="EHV37" s="47"/>
      <c r="EHW37" s="47"/>
      <c r="EHX37" s="47"/>
      <c r="EHY37" s="47"/>
      <c r="EHZ37" s="47"/>
      <c r="EIA37" s="47"/>
      <c r="EIB37" s="47"/>
      <c r="EIC37" s="47"/>
      <c r="EID37" s="47"/>
      <c r="EIE37" s="47"/>
      <c r="EIF37" s="47"/>
      <c r="EIG37" s="47"/>
      <c r="EIH37" s="47"/>
      <c r="EII37" s="47"/>
      <c r="EIJ37" s="47"/>
      <c r="EIK37" s="47"/>
      <c r="EIL37" s="47"/>
      <c r="EIM37" s="47"/>
      <c r="EIN37" s="47"/>
      <c r="EIO37" s="47"/>
      <c r="EIP37" s="47"/>
      <c r="EIQ37" s="47"/>
      <c r="EIR37" s="47"/>
      <c r="EIS37" s="47"/>
      <c r="EIT37" s="47"/>
      <c r="EIU37" s="47"/>
      <c r="EIV37" s="47"/>
      <c r="EIW37" s="47"/>
      <c r="EIX37" s="47"/>
      <c r="EIY37" s="47"/>
      <c r="EIZ37" s="47"/>
      <c r="EJA37" s="47"/>
      <c r="EJB37" s="47"/>
      <c r="EJC37" s="47"/>
      <c r="EJD37" s="47"/>
      <c r="EJE37" s="47"/>
      <c r="EJF37" s="47"/>
      <c r="EJG37" s="47"/>
      <c r="EJH37" s="47"/>
      <c r="EJI37" s="47"/>
      <c r="EJJ37" s="47"/>
      <c r="EJK37" s="47"/>
      <c r="EJL37" s="47"/>
      <c r="EJM37" s="47"/>
      <c r="EJN37" s="47"/>
      <c r="EJO37" s="47"/>
      <c r="EJP37" s="47"/>
      <c r="EJQ37" s="47"/>
      <c r="EJR37" s="47"/>
      <c r="EJS37" s="47"/>
      <c r="EJT37" s="47"/>
      <c r="EJU37" s="47"/>
      <c r="EJV37" s="47"/>
      <c r="EJW37" s="47"/>
      <c r="EJX37" s="47"/>
      <c r="EJY37" s="47"/>
      <c r="EJZ37" s="47"/>
      <c r="EKA37" s="47"/>
      <c r="EKB37" s="47"/>
      <c r="EKC37" s="47"/>
      <c r="EKD37" s="47"/>
      <c r="EKE37" s="47"/>
      <c r="EKF37" s="47"/>
      <c r="EKG37" s="47"/>
      <c r="EKH37" s="47"/>
      <c r="EKI37" s="47"/>
      <c r="EKJ37" s="47"/>
      <c r="EKK37" s="47"/>
      <c r="EKL37" s="47"/>
      <c r="EKM37" s="47"/>
      <c r="EKN37" s="47"/>
      <c r="EKO37" s="47"/>
      <c r="EKP37" s="47"/>
      <c r="EKQ37" s="47"/>
      <c r="EKR37" s="47"/>
      <c r="EKS37" s="47"/>
      <c r="EKT37" s="47"/>
      <c r="EKU37" s="47"/>
      <c r="EKV37" s="47"/>
      <c r="EKW37" s="47"/>
      <c r="EKX37" s="47"/>
      <c r="EKY37" s="47"/>
      <c r="EKZ37" s="47"/>
      <c r="ELA37" s="47"/>
      <c r="ELB37" s="47"/>
      <c r="ELC37" s="47"/>
      <c r="ELD37" s="47"/>
      <c r="ELE37" s="47"/>
      <c r="ELF37" s="47"/>
      <c r="ELG37" s="47"/>
      <c r="ELH37" s="47"/>
      <c r="ELI37" s="47"/>
      <c r="ELJ37" s="47"/>
      <c r="ELK37" s="47"/>
      <c r="ELL37" s="47"/>
      <c r="ELM37" s="47"/>
      <c r="ELN37" s="47"/>
      <c r="ELO37" s="47"/>
      <c r="ELP37" s="47"/>
      <c r="ELQ37" s="47"/>
      <c r="ELR37" s="47"/>
      <c r="ELS37" s="47"/>
      <c r="ELT37" s="47"/>
      <c r="ELU37" s="47"/>
      <c r="ELV37" s="47"/>
      <c r="ELW37" s="47"/>
      <c r="ELX37" s="47"/>
      <c r="ELY37" s="47"/>
      <c r="ELZ37" s="47"/>
      <c r="EMA37" s="47"/>
      <c r="EMB37" s="47"/>
      <c r="EMC37" s="47"/>
      <c r="EMD37" s="47"/>
      <c r="EME37" s="47"/>
      <c r="EMF37" s="47"/>
      <c r="EMG37" s="47"/>
      <c r="EMH37" s="47"/>
      <c r="EMI37" s="47"/>
      <c r="EMJ37" s="47"/>
      <c r="EMK37" s="47"/>
      <c r="EML37" s="47"/>
      <c r="EMM37" s="47"/>
      <c r="EMN37" s="47"/>
      <c r="EMO37" s="47"/>
      <c r="EMP37" s="47"/>
      <c r="EMQ37" s="47"/>
      <c r="EMR37" s="47"/>
      <c r="EMS37" s="47"/>
      <c r="EMT37" s="47"/>
      <c r="EMU37" s="47"/>
      <c r="EMV37" s="47"/>
      <c r="EMW37" s="47"/>
      <c r="EMX37" s="47"/>
      <c r="EMY37" s="47"/>
      <c r="EMZ37" s="47"/>
      <c r="ENA37" s="47"/>
      <c r="ENB37" s="47"/>
      <c r="ENC37" s="47"/>
      <c r="END37" s="47"/>
      <c r="ENE37" s="47"/>
      <c r="ENF37" s="47"/>
      <c r="ENG37" s="47"/>
      <c r="ENH37" s="47"/>
      <c r="ENI37" s="47"/>
      <c r="ENJ37" s="47"/>
      <c r="ENK37" s="47"/>
      <c r="ENL37" s="47"/>
      <c r="ENM37" s="47"/>
      <c r="ENN37" s="47"/>
      <c r="ENO37" s="47"/>
      <c r="ENP37" s="47"/>
      <c r="ENQ37" s="47"/>
      <c r="ENR37" s="47"/>
      <c r="ENS37" s="47"/>
      <c r="ENT37" s="47"/>
      <c r="ENU37" s="47"/>
      <c r="ENV37" s="47"/>
      <c r="ENW37" s="47"/>
      <c r="ENX37" s="47"/>
      <c r="ENY37" s="47"/>
      <c r="ENZ37" s="47"/>
      <c r="EOA37" s="47"/>
      <c r="EOB37" s="47"/>
      <c r="EOC37" s="47"/>
      <c r="EOD37" s="47"/>
      <c r="EOE37" s="47"/>
      <c r="EOF37" s="47"/>
      <c r="EOG37" s="47"/>
      <c r="EOH37" s="47"/>
      <c r="EOI37" s="47"/>
      <c r="EOJ37" s="47"/>
      <c r="EOK37" s="47"/>
      <c r="EOL37" s="47"/>
      <c r="EOM37" s="47"/>
      <c r="EON37" s="47"/>
      <c r="EOO37" s="47"/>
      <c r="EOP37" s="47"/>
      <c r="EOQ37" s="47"/>
      <c r="EOR37" s="47"/>
      <c r="EOS37" s="47"/>
      <c r="EOT37" s="47"/>
      <c r="EOU37" s="47"/>
      <c r="EOV37" s="47"/>
      <c r="EOW37" s="47"/>
      <c r="EOX37" s="47"/>
      <c r="EOY37" s="47"/>
      <c r="EOZ37" s="47"/>
      <c r="EPA37" s="47"/>
      <c r="EPB37" s="47"/>
      <c r="EPC37" s="47"/>
      <c r="EPD37" s="47"/>
      <c r="EPE37" s="47"/>
      <c r="EPF37" s="47"/>
      <c r="EPG37" s="47"/>
      <c r="EPH37" s="47"/>
      <c r="EPI37" s="47"/>
      <c r="EPJ37" s="47"/>
      <c r="EPK37" s="47"/>
      <c r="EPL37" s="47"/>
      <c r="EPM37" s="47"/>
      <c r="EPN37" s="47"/>
      <c r="EPO37" s="47"/>
      <c r="EPP37" s="47"/>
      <c r="EPQ37" s="47"/>
      <c r="EPR37" s="47"/>
      <c r="EPS37" s="47"/>
      <c r="EPT37" s="47"/>
      <c r="EPU37" s="47"/>
      <c r="EPV37" s="47"/>
      <c r="EPW37" s="47"/>
      <c r="EPX37" s="47"/>
      <c r="EPY37" s="47"/>
      <c r="EPZ37" s="47"/>
      <c r="EQA37" s="47"/>
      <c r="EQB37" s="47"/>
      <c r="EQC37" s="47"/>
      <c r="EQD37" s="47"/>
      <c r="EQE37" s="47"/>
      <c r="EQF37" s="47"/>
      <c r="EQG37" s="47"/>
      <c r="EQH37" s="47"/>
      <c r="EQI37" s="47"/>
      <c r="EQJ37" s="47"/>
      <c r="EQK37" s="47"/>
      <c r="EQL37" s="47"/>
      <c r="EQM37" s="47"/>
      <c r="EQN37" s="47"/>
      <c r="EQO37" s="47"/>
      <c r="EQP37" s="47"/>
      <c r="EQQ37" s="47"/>
      <c r="EQR37" s="47"/>
      <c r="EQS37" s="47"/>
      <c r="EQT37" s="47"/>
      <c r="EQU37" s="47"/>
      <c r="EQV37" s="47"/>
      <c r="EQW37" s="47"/>
      <c r="EQX37" s="47"/>
      <c r="EQY37" s="47"/>
      <c r="EQZ37" s="47"/>
      <c r="ERA37" s="47"/>
      <c r="ERB37" s="47"/>
      <c r="ERC37" s="47"/>
      <c r="ERD37" s="47"/>
      <c r="ERE37" s="47"/>
      <c r="ERF37" s="47"/>
      <c r="ERG37" s="47"/>
      <c r="ERH37" s="47"/>
      <c r="ERI37" s="47"/>
      <c r="ERJ37" s="47"/>
      <c r="ERK37" s="47"/>
      <c r="ERL37" s="47"/>
      <c r="ERM37" s="47"/>
      <c r="ERN37" s="47"/>
      <c r="ERO37" s="47"/>
      <c r="ERP37" s="47"/>
      <c r="ERQ37" s="47"/>
      <c r="ERR37" s="47"/>
      <c r="ERS37" s="47"/>
      <c r="ERT37" s="47"/>
      <c r="ERU37" s="47"/>
      <c r="ERV37" s="47"/>
      <c r="ERW37" s="47"/>
      <c r="ERX37" s="47"/>
      <c r="ERY37" s="47"/>
      <c r="ERZ37" s="47"/>
      <c r="ESA37" s="47"/>
      <c r="ESB37" s="47"/>
      <c r="ESC37" s="47"/>
      <c r="ESD37" s="47"/>
      <c r="ESE37" s="47"/>
      <c r="ESF37" s="47"/>
      <c r="ESG37" s="47"/>
      <c r="ESH37" s="47"/>
      <c r="ESI37" s="47"/>
      <c r="ESJ37" s="47"/>
      <c r="ESK37" s="47"/>
      <c r="ESL37" s="47"/>
      <c r="ESM37" s="47"/>
      <c r="ESN37" s="47"/>
      <c r="ESO37" s="47"/>
      <c r="ESP37" s="47"/>
      <c r="ESQ37" s="47"/>
      <c r="ESR37" s="47"/>
      <c r="ESS37" s="47"/>
      <c r="EST37" s="47"/>
      <c r="ESU37" s="47"/>
      <c r="ESV37" s="47"/>
      <c r="ESW37" s="47"/>
      <c r="ESX37" s="47"/>
      <c r="ESY37" s="47"/>
      <c r="ESZ37" s="47"/>
      <c r="ETA37" s="47"/>
      <c r="ETB37" s="47"/>
      <c r="ETC37" s="47"/>
      <c r="ETD37" s="47"/>
      <c r="ETE37" s="47"/>
      <c r="ETF37" s="47"/>
      <c r="ETG37" s="47"/>
      <c r="ETH37" s="47"/>
      <c r="ETI37" s="47"/>
      <c r="ETJ37" s="47"/>
      <c r="ETK37" s="47"/>
      <c r="ETL37" s="47"/>
      <c r="ETM37" s="47"/>
      <c r="ETN37" s="47"/>
      <c r="ETO37" s="47"/>
      <c r="ETP37" s="47"/>
      <c r="ETQ37" s="47"/>
      <c r="ETR37" s="47"/>
      <c r="ETS37" s="47"/>
      <c r="ETT37" s="47"/>
      <c r="ETU37" s="47"/>
      <c r="ETV37" s="47"/>
      <c r="ETW37" s="47"/>
      <c r="ETX37" s="47"/>
      <c r="ETY37" s="47"/>
      <c r="ETZ37" s="47"/>
      <c r="EUA37" s="47"/>
      <c r="EUB37" s="47"/>
      <c r="EUC37" s="47"/>
      <c r="EUD37" s="47"/>
      <c r="EUE37" s="47"/>
      <c r="EUF37" s="47"/>
      <c r="EUG37" s="47"/>
      <c r="EUH37" s="47"/>
      <c r="EUI37" s="47"/>
      <c r="EUJ37" s="47"/>
      <c r="EUK37" s="47"/>
      <c r="EUL37" s="47"/>
      <c r="EUM37" s="47"/>
      <c r="EUN37" s="47"/>
      <c r="EUO37" s="47"/>
      <c r="EUP37" s="47"/>
      <c r="EUQ37" s="47"/>
      <c r="EUR37" s="47"/>
      <c r="EUS37" s="47"/>
      <c r="EUT37" s="47"/>
      <c r="EUU37" s="47"/>
      <c r="EUV37" s="47"/>
      <c r="EUW37" s="47"/>
      <c r="EUX37" s="47"/>
      <c r="EUY37" s="47"/>
      <c r="EUZ37" s="47"/>
      <c r="EVA37" s="47"/>
      <c r="EVB37" s="47"/>
      <c r="EVC37" s="47"/>
      <c r="EVD37" s="47"/>
      <c r="EVE37" s="47"/>
      <c r="EVF37" s="47"/>
      <c r="EVG37" s="47"/>
      <c r="EVH37" s="47"/>
      <c r="EVI37" s="47"/>
      <c r="EVJ37" s="47"/>
      <c r="EVK37" s="47"/>
      <c r="EVL37" s="47"/>
      <c r="EVM37" s="47"/>
      <c r="EVN37" s="47"/>
      <c r="EVO37" s="47"/>
      <c r="EVP37" s="47"/>
      <c r="EVQ37" s="47"/>
      <c r="EVR37" s="47"/>
      <c r="EVS37" s="47"/>
      <c r="EVT37" s="47"/>
      <c r="EVU37" s="47"/>
      <c r="EVV37" s="47"/>
      <c r="EVW37" s="47"/>
      <c r="EVX37" s="47"/>
      <c r="EVY37" s="47"/>
      <c r="EVZ37" s="47"/>
      <c r="EWA37" s="47"/>
      <c r="EWB37" s="47"/>
      <c r="EWC37" s="47"/>
      <c r="EWD37" s="47"/>
      <c r="EWE37" s="47"/>
      <c r="EWF37" s="47"/>
      <c r="EWG37" s="47"/>
      <c r="EWH37" s="47"/>
      <c r="EWI37" s="47"/>
      <c r="EWJ37" s="47"/>
      <c r="EWK37" s="47"/>
      <c r="EWL37" s="47"/>
      <c r="EWM37" s="47"/>
      <c r="EWN37" s="47"/>
      <c r="EWO37" s="47"/>
      <c r="EWP37" s="47"/>
      <c r="EWQ37" s="47"/>
      <c r="EWR37" s="47"/>
      <c r="EWS37" s="47"/>
      <c r="EWT37" s="47"/>
      <c r="EWU37" s="47"/>
      <c r="EWV37" s="47"/>
      <c r="EWW37" s="47"/>
      <c r="EWX37" s="47"/>
      <c r="EWY37" s="47"/>
      <c r="EWZ37" s="47"/>
      <c r="EXA37" s="47"/>
      <c r="EXB37" s="47"/>
      <c r="EXC37" s="47"/>
      <c r="EXD37" s="47"/>
      <c r="EXE37" s="47"/>
      <c r="EXF37" s="47"/>
      <c r="EXG37" s="47"/>
      <c r="EXH37" s="47"/>
      <c r="EXI37" s="47"/>
      <c r="EXJ37" s="47"/>
      <c r="EXK37" s="47"/>
      <c r="EXL37" s="47"/>
      <c r="EXM37" s="47"/>
      <c r="EXN37" s="47"/>
      <c r="EXO37" s="47"/>
      <c r="EXP37" s="47"/>
      <c r="EXQ37" s="47"/>
      <c r="EXR37" s="47"/>
      <c r="EXS37" s="47"/>
      <c r="EXT37" s="47"/>
      <c r="EXU37" s="47"/>
      <c r="EXV37" s="47"/>
      <c r="EXW37" s="47"/>
      <c r="EXX37" s="47"/>
      <c r="EXY37" s="47"/>
      <c r="EXZ37" s="47"/>
      <c r="EYA37" s="47"/>
      <c r="EYB37" s="47"/>
      <c r="EYC37" s="47"/>
      <c r="EYD37" s="47"/>
      <c r="EYE37" s="47"/>
      <c r="EYF37" s="47"/>
      <c r="EYG37" s="47"/>
      <c r="EYH37" s="47"/>
      <c r="EYI37" s="47"/>
      <c r="EYJ37" s="47"/>
      <c r="EYK37" s="47"/>
      <c r="EYL37" s="47"/>
      <c r="EYM37" s="47"/>
      <c r="EYN37" s="47"/>
      <c r="EYO37" s="47"/>
      <c r="EYP37" s="47"/>
      <c r="EYQ37" s="47"/>
      <c r="EYR37" s="47"/>
      <c r="EYS37" s="47"/>
      <c r="EYT37" s="47"/>
      <c r="EYU37" s="47"/>
      <c r="EYV37" s="47"/>
      <c r="EYW37" s="47"/>
      <c r="EYX37" s="47"/>
      <c r="EYY37" s="47"/>
      <c r="EYZ37" s="47"/>
      <c r="EZA37" s="47"/>
      <c r="EZB37" s="47"/>
      <c r="EZC37" s="47"/>
      <c r="EZD37" s="47"/>
      <c r="EZE37" s="47"/>
      <c r="EZF37" s="47"/>
      <c r="EZG37" s="47"/>
      <c r="EZH37" s="47"/>
      <c r="EZI37" s="47"/>
      <c r="EZJ37" s="47"/>
      <c r="EZK37" s="47"/>
      <c r="EZL37" s="47"/>
      <c r="EZM37" s="47"/>
      <c r="EZN37" s="47"/>
      <c r="EZO37" s="47"/>
      <c r="EZP37" s="47"/>
      <c r="EZQ37" s="47"/>
      <c r="EZR37" s="47"/>
      <c r="EZS37" s="47"/>
      <c r="EZT37" s="47"/>
      <c r="EZU37" s="47"/>
      <c r="EZV37" s="47"/>
      <c r="EZW37" s="47"/>
      <c r="EZX37" s="47"/>
      <c r="EZY37" s="47"/>
      <c r="EZZ37" s="47"/>
      <c r="FAA37" s="47"/>
      <c r="FAB37" s="47"/>
      <c r="FAC37" s="47"/>
      <c r="FAD37" s="47"/>
      <c r="FAE37" s="47"/>
      <c r="FAF37" s="47"/>
      <c r="FAG37" s="47"/>
      <c r="FAH37" s="47"/>
      <c r="FAI37" s="47"/>
      <c r="FAJ37" s="47"/>
      <c r="FAK37" s="47"/>
      <c r="FAL37" s="47"/>
      <c r="FAM37" s="47"/>
      <c r="FAN37" s="47"/>
      <c r="FAO37" s="47"/>
      <c r="FAP37" s="47"/>
      <c r="FAQ37" s="47"/>
      <c r="FAR37" s="47"/>
      <c r="FAS37" s="47"/>
      <c r="FAT37" s="47"/>
      <c r="FAU37" s="47"/>
      <c r="FAV37" s="47"/>
      <c r="FAW37" s="47"/>
      <c r="FAX37" s="47"/>
      <c r="FAY37" s="47"/>
      <c r="FAZ37" s="47"/>
      <c r="FBA37" s="47"/>
      <c r="FBB37" s="47"/>
      <c r="FBC37" s="47"/>
      <c r="FBD37" s="47"/>
      <c r="FBE37" s="47"/>
      <c r="FBF37" s="47"/>
      <c r="FBG37" s="47"/>
      <c r="FBH37" s="47"/>
      <c r="FBI37" s="47"/>
      <c r="FBJ37" s="47"/>
      <c r="FBK37" s="47"/>
      <c r="FBL37" s="47"/>
      <c r="FBM37" s="47"/>
      <c r="FBN37" s="47"/>
      <c r="FBO37" s="47"/>
      <c r="FBP37" s="47"/>
      <c r="FBQ37" s="47"/>
      <c r="FBR37" s="47"/>
      <c r="FBS37" s="47"/>
      <c r="FBT37" s="47"/>
      <c r="FBU37" s="47"/>
      <c r="FBV37" s="47"/>
      <c r="FBW37" s="47"/>
      <c r="FBX37" s="47"/>
      <c r="FBY37" s="47"/>
      <c r="FBZ37" s="47"/>
      <c r="FCA37" s="47"/>
      <c r="FCB37" s="47"/>
      <c r="FCC37" s="47"/>
      <c r="FCD37" s="47"/>
      <c r="FCE37" s="47"/>
      <c r="FCF37" s="47"/>
      <c r="FCG37" s="47"/>
      <c r="FCH37" s="47"/>
      <c r="FCI37" s="47"/>
      <c r="FCJ37" s="47"/>
      <c r="FCK37" s="47"/>
      <c r="FCL37" s="47"/>
      <c r="FCM37" s="47"/>
      <c r="FCN37" s="47"/>
      <c r="FCO37" s="47"/>
      <c r="FCP37" s="47"/>
      <c r="FCQ37" s="47"/>
      <c r="FCR37" s="47"/>
      <c r="FCS37" s="47"/>
      <c r="FCT37" s="47"/>
      <c r="FCU37" s="47"/>
      <c r="FCV37" s="47"/>
      <c r="FCW37" s="47"/>
      <c r="FCX37" s="47"/>
      <c r="FCY37" s="47"/>
      <c r="FCZ37" s="47"/>
      <c r="FDA37" s="47"/>
      <c r="FDB37" s="47"/>
      <c r="FDC37" s="47"/>
      <c r="FDD37" s="47"/>
      <c r="FDE37" s="47"/>
      <c r="FDF37" s="47"/>
      <c r="FDG37" s="47"/>
      <c r="FDH37" s="47"/>
      <c r="FDI37" s="47"/>
      <c r="FDJ37" s="47"/>
      <c r="FDK37" s="47"/>
      <c r="FDL37" s="47"/>
      <c r="FDM37" s="47"/>
      <c r="FDN37" s="47"/>
      <c r="FDO37" s="47"/>
      <c r="FDP37" s="47"/>
      <c r="FDQ37" s="47"/>
      <c r="FDR37" s="47"/>
      <c r="FDS37" s="47"/>
      <c r="FDT37" s="47"/>
      <c r="FDU37" s="47"/>
      <c r="FDV37" s="47"/>
      <c r="FDW37" s="47"/>
      <c r="FDX37" s="47"/>
      <c r="FDY37" s="47"/>
      <c r="FDZ37" s="47"/>
      <c r="FEA37" s="47"/>
      <c r="FEB37" s="47"/>
      <c r="FEC37" s="47"/>
      <c r="FED37" s="47"/>
      <c r="FEE37" s="47"/>
      <c r="FEF37" s="47"/>
      <c r="FEG37" s="47"/>
      <c r="FEH37" s="47"/>
      <c r="FEI37" s="47"/>
      <c r="FEJ37" s="47"/>
      <c r="FEK37" s="47"/>
      <c r="FEL37" s="47"/>
      <c r="FEM37" s="47"/>
      <c r="FEN37" s="47"/>
      <c r="FEO37" s="47"/>
      <c r="FEP37" s="47"/>
      <c r="FEQ37" s="47"/>
      <c r="FER37" s="47"/>
      <c r="FES37" s="47"/>
      <c r="FET37" s="47"/>
      <c r="FEU37" s="47"/>
      <c r="FEV37" s="47"/>
      <c r="FEW37" s="47"/>
      <c r="FEX37" s="47"/>
      <c r="FEY37" s="47"/>
      <c r="FEZ37" s="47"/>
      <c r="FFA37" s="47"/>
      <c r="FFB37" s="47"/>
      <c r="FFC37" s="47"/>
      <c r="FFD37" s="47"/>
      <c r="FFE37" s="47"/>
      <c r="FFF37" s="47"/>
      <c r="FFG37" s="47"/>
      <c r="FFH37" s="47"/>
      <c r="FFI37" s="47"/>
      <c r="FFJ37" s="47"/>
      <c r="FFK37" s="47"/>
      <c r="FFL37" s="47"/>
      <c r="FFM37" s="47"/>
      <c r="FFN37" s="47"/>
      <c r="FFO37" s="47"/>
      <c r="FFP37" s="47"/>
      <c r="FFQ37" s="47"/>
      <c r="FFR37" s="47"/>
      <c r="FFS37" s="47"/>
      <c r="FFT37" s="47"/>
      <c r="FFU37" s="47"/>
      <c r="FFV37" s="47"/>
      <c r="FFW37" s="47"/>
      <c r="FFX37" s="47"/>
      <c r="FFY37" s="47"/>
      <c r="FFZ37" s="47"/>
      <c r="FGA37" s="47"/>
      <c r="FGB37" s="47"/>
      <c r="FGC37" s="47"/>
      <c r="FGD37" s="47"/>
      <c r="FGE37" s="47"/>
      <c r="FGF37" s="47"/>
      <c r="FGG37" s="47"/>
      <c r="FGH37" s="47"/>
      <c r="FGI37" s="47"/>
      <c r="FGJ37" s="47"/>
      <c r="FGK37" s="47"/>
      <c r="FGL37" s="47"/>
      <c r="FGM37" s="47"/>
      <c r="FGN37" s="47"/>
      <c r="FGO37" s="47"/>
      <c r="FGP37" s="47"/>
      <c r="FGQ37" s="47"/>
      <c r="FGR37" s="47"/>
      <c r="FGS37" s="47"/>
      <c r="FGT37" s="47"/>
      <c r="FGU37" s="47"/>
      <c r="FGV37" s="47"/>
      <c r="FGW37" s="47"/>
      <c r="FGX37" s="47"/>
      <c r="FGY37" s="47"/>
      <c r="FGZ37" s="47"/>
      <c r="FHA37" s="47"/>
      <c r="FHB37" s="47"/>
      <c r="FHC37" s="47"/>
      <c r="FHD37" s="47"/>
      <c r="FHE37" s="47"/>
      <c r="FHF37" s="47"/>
      <c r="FHG37" s="47"/>
      <c r="FHH37" s="47"/>
      <c r="FHI37" s="47"/>
      <c r="FHJ37" s="47"/>
      <c r="FHK37" s="47"/>
      <c r="FHL37" s="47"/>
      <c r="FHM37" s="47"/>
      <c r="FHN37" s="47"/>
      <c r="FHO37" s="47"/>
      <c r="FHP37" s="47"/>
      <c r="FHQ37" s="47"/>
      <c r="FHR37" s="47"/>
      <c r="FHS37" s="47"/>
      <c r="FHT37" s="47"/>
      <c r="FHU37" s="47"/>
      <c r="FHV37" s="47"/>
      <c r="FHW37" s="47"/>
      <c r="FHX37" s="47"/>
      <c r="FHY37" s="47"/>
      <c r="FHZ37" s="47"/>
      <c r="FIA37" s="47"/>
      <c r="FIB37" s="47"/>
      <c r="FIC37" s="47"/>
      <c r="FID37" s="47"/>
      <c r="FIE37" s="47"/>
      <c r="FIF37" s="47"/>
      <c r="FIG37" s="47"/>
      <c r="FIH37" s="47"/>
      <c r="FII37" s="47"/>
      <c r="FIJ37" s="47"/>
      <c r="FIK37" s="47"/>
      <c r="FIL37" s="47"/>
      <c r="FIM37" s="47"/>
      <c r="FIN37" s="47"/>
      <c r="FIO37" s="47"/>
      <c r="FIP37" s="47"/>
      <c r="FIQ37" s="47"/>
      <c r="FIR37" s="47"/>
      <c r="FIS37" s="47"/>
      <c r="FIT37" s="47"/>
      <c r="FIU37" s="47"/>
      <c r="FIV37" s="47"/>
      <c r="FIW37" s="47"/>
      <c r="FIX37" s="47"/>
      <c r="FIY37" s="47"/>
      <c r="FIZ37" s="47"/>
      <c r="FJA37" s="47"/>
      <c r="FJB37" s="47"/>
      <c r="FJC37" s="47"/>
      <c r="FJD37" s="47"/>
      <c r="FJE37" s="47"/>
      <c r="FJF37" s="47"/>
      <c r="FJG37" s="47"/>
      <c r="FJH37" s="47"/>
      <c r="FJI37" s="47"/>
      <c r="FJJ37" s="47"/>
      <c r="FJK37" s="47"/>
      <c r="FJL37" s="47"/>
      <c r="FJM37" s="47"/>
      <c r="FJN37" s="47"/>
      <c r="FJO37" s="47"/>
      <c r="FJP37" s="47"/>
      <c r="FJQ37" s="47"/>
      <c r="FJR37" s="47"/>
      <c r="FJS37" s="47"/>
      <c r="FJT37" s="47"/>
      <c r="FJU37" s="47"/>
      <c r="FJV37" s="47"/>
      <c r="FJW37" s="47"/>
      <c r="FJX37" s="47"/>
      <c r="FJY37" s="47"/>
      <c r="FJZ37" s="47"/>
      <c r="FKA37" s="47"/>
      <c r="FKB37" s="47"/>
      <c r="FKC37" s="47"/>
      <c r="FKD37" s="47"/>
      <c r="FKE37" s="47"/>
      <c r="FKF37" s="47"/>
      <c r="FKG37" s="47"/>
      <c r="FKH37" s="47"/>
      <c r="FKI37" s="47"/>
      <c r="FKJ37" s="47"/>
      <c r="FKK37" s="47"/>
      <c r="FKL37" s="47"/>
      <c r="FKM37" s="47"/>
      <c r="FKN37" s="47"/>
      <c r="FKO37" s="47"/>
      <c r="FKP37" s="47"/>
      <c r="FKQ37" s="47"/>
      <c r="FKR37" s="47"/>
      <c r="FKS37" s="47"/>
      <c r="FKT37" s="47"/>
      <c r="FKU37" s="47"/>
      <c r="FKV37" s="47"/>
      <c r="FKW37" s="47"/>
      <c r="FKX37" s="47"/>
      <c r="FKY37" s="47"/>
      <c r="FKZ37" s="47"/>
      <c r="FLA37" s="47"/>
      <c r="FLB37" s="47"/>
      <c r="FLC37" s="47"/>
      <c r="FLD37" s="47"/>
      <c r="FLE37" s="47"/>
      <c r="FLF37" s="47"/>
      <c r="FLG37" s="47"/>
      <c r="FLH37" s="47"/>
      <c r="FLI37" s="47"/>
      <c r="FLJ37" s="47"/>
      <c r="FLK37" s="47"/>
      <c r="FLL37" s="47"/>
      <c r="FLM37" s="47"/>
      <c r="FLN37" s="47"/>
      <c r="FLO37" s="47"/>
      <c r="FLP37" s="47"/>
      <c r="FLQ37" s="47"/>
      <c r="FLR37" s="47"/>
      <c r="FLS37" s="47"/>
      <c r="FLT37" s="47"/>
      <c r="FLU37" s="47"/>
      <c r="FLV37" s="47"/>
      <c r="FLW37" s="47"/>
      <c r="FLX37" s="47"/>
      <c r="FLY37" s="47"/>
      <c r="FLZ37" s="47"/>
      <c r="FMA37" s="47"/>
      <c r="FMB37" s="47"/>
      <c r="FMC37" s="47"/>
      <c r="FMD37" s="47"/>
      <c r="FME37" s="47"/>
      <c r="FMF37" s="47"/>
      <c r="FMG37" s="47"/>
      <c r="FMH37" s="47"/>
      <c r="FMI37" s="47"/>
      <c r="FMJ37" s="47"/>
      <c r="FMK37" s="47"/>
      <c r="FML37" s="47"/>
      <c r="FMM37" s="47"/>
      <c r="FMN37" s="47"/>
      <c r="FMO37" s="47"/>
      <c r="FMP37" s="47"/>
      <c r="FMQ37" s="47"/>
      <c r="FMR37" s="47"/>
      <c r="FMS37" s="47"/>
      <c r="FMT37" s="47"/>
      <c r="FMU37" s="47"/>
      <c r="FMV37" s="47"/>
      <c r="FMW37" s="47"/>
      <c r="FMX37" s="47"/>
      <c r="FMY37" s="47"/>
      <c r="FMZ37" s="47"/>
      <c r="FNA37" s="47"/>
      <c r="FNB37" s="47"/>
      <c r="FNC37" s="47"/>
      <c r="FND37" s="47"/>
      <c r="FNE37" s="47"/>
      <c r="FNF37" s="47"/>
      <c r="FNG37" s="47"/>
      <c r="FNH37" s="47"/>
      <c r="FNI37" s="47"/>
      <c r="FNJ37" s="47"/>
      <c r="FNK37" s="47"/>
      <c r="FNL37" s="47"/>
      <c r="FNM37" s="47"/>
      <c r="FNN37" s="47"/>
      <c r="FNO37" s="47"/>
      <c r="FNP37" s="47"/>
      <c r="FNQ37" s="47"/>
      <c r="FNR37" s="47"/>
      <c r="FNS37" s="47"/>
      <c r="FNT37" s="47"/>
      <c r="FNU37" s="47"/>
      <c r="FNV37" s="47"/>
      <c r="FNW37" s="47"/>
      <c r="FNX37" s="47"/>
      <c r="FNY37" s="47"/>
      <c r="FNZ37" s="47"/>
      <c r="FOA37" s="47"/>
      <c r="FOB37" s="47"/>
      <c r="FOC37" s="47"/>
      <c r="FOD37" s="47"/>
      <c r="FOE37" s="47"/>
      <c r="FOF37" s="47"/>
      <c r="FOG37" s="47"/>
      <c r="FOH37" s="47"/>
      <c r="FOI37" s="47"/>
      <c r="FOJ37" s="47"/>
      <c r="FOK37" s="47"/>
      <c r="FOL37" s="47"/>
      <c r="FOM37" s="47"/>
      <c r="FON37" s="47"/>
      <c r="FOO37" s="47"/>
      <c r="FOP37" s="47"/>
      <c r="FOQ37" s="47"/>
      <c r="FOR37" s="47"/>
      <c r="FOS37" s="47"/>
      <c r="FOT37" s="47"/>
      <c r="FOU37" s="47"/>
      <c r="FOV37" s="47"/>
      <c r="FOW37" s="47"/>
      <c r="FOX37" s="47"/>
      <c r="FOY37" s="47"/>
      <c r="FOZ37" s="47"/>
      <c r="FPA37" s="47"/>
      <c r="FPB37" s="47"/>
      <c r="FPC37" s="47"/>
      <c r="FPD37" s="47"/>
      <c r="FPE37" s="47"/>
      <c r="FPF37" s="47"/>
      <c r="FPG37" s="47"/>
      <c r="FPH37" s="47"/>
      <c r="FPI37" s="47"/>
      <c r="FPJ37" s="47"/>
      <c r="FPK37" s="47"/>
      <c r="FPL37" s="47"/>
      <c r="FPM37" s="47"/>
      <c r="FPN37" s="47"/>
      <c r="FPO37" s="47"/>
      <c r="FPP37" s="47"/>
      <c r="FPQ37" s="47"/>
      <c r="FPR37" s="47"/>
      <c r="FPS37" s="47"/>
      <c r="FPT37" s="47"/>
      <c r="FPU37" s="47"/>
      <c r="FPV37" s="47"/>
      <c r="FPW37" s="47"/>
      <c r="FPX37" s="47"/>
      <c r="FPY37" s="47"/>
      <c r="FPZ37" s="47"/>
      <c r="FQA37" s="47"/>
      <c r="FQB37" s="47"/>
      <c r="FQC37" s="47"/>
      <c r="FQD37" s="47"/>
      <c r="FQE37" s="47"/>
      <c r="FQF37" s="47"/>
      <c r="FQG37" s="47"/>
      <c r="FQH37" s="47"/>
      <c r="FQI37" s="47"/>
      <c r="FQJ37" s="47"/>
      <c r="FQK37" s="47"/>
      <c r="FQL37" s="47"/>
      <c r="FQM37" s="47"/>
      <c r="FQN37" s="47"/>
      <c r="FQO37" s="47"/>
      <c r="FQP37" s="47"/>
      <c r="FQQ37" s="47"/>
      <c r="FQR37" s="47"/>
      <c r="FQS37" s="47"/>
      <c r="FQT37" s="47"/>
      <c r="FQU37" s="47"/>
      <c r="FQV37" s="47"/>
      <c r="FQW37" s="47"/>
      <c r="FQX37" s="47"/>
      <c r="FQY37" s="47"/>
      <c r="FQZ37" s="47"/>
      <c r="FRA37" s="47"/>
      <c r="FRB37" s="47"/>
      <c r="FRC37" s="47"/>
      <c r="FRD37" s="47"/>
      <c r="FRE37" s="47"/>
      <c r="FRF37" s="47"/>
      <c r="FRG37" s="47"/>
      <c r="FRH37" s="47"/>
      <c r="FRI37" s="47"/>
      <c r="FRJ37" s="47"/>
      <c r="FRK37" s="47"/>
      <c r="FRL37" s="47"/>
      <c r="FRM37" s="47"/>
      <c r="FRN37" s="47"/>
      <c r="FRO37" s="47"/>
      <c r="FRP37" s="47"/>
      <c r="FRQ37" s="47"/>
      <c r="FRR37" s="47"/>
      <c r="FRS37" s="47"/>
      <c r="FRT37" s="47"/>
      <c r="FRU37" s="47"/>
      <c r="FRV37" s="47"/>
      <c r="FRW37" s="47"/>
      <c r="FRX37" s="47"/>
      <c r="FRY37" s="47"/>
      <c r="FRZ37" s="47"/>
      <c r="FSA37" s="47"/>
      <c r="FSB37" s="47"/>
      <c r="FSC37" s="47"/>
      <c r="FSD37" s="47"/>
      <c r="FSE37" s="47"/>
      <c r="FSF37" s="47"/>
      <c r="FSG37" s="47"/>
      <c r="FSH37" s="47"/>
      <c r="FSI37" s="47"/>
      <c r="FSJ37" s="47"/>
      <c r="FSK37" s="47"/>
      <c r="FSL37" s="47"/>
      <c r="FSM37" s="47"/>
      <c r="FSN37" s="47"/>
      <c r="FSO37" s="47"/>
      <c r="FSP37" s="47"/>
      <c r="FSQ37" s="47"/>
      <c r="FSR37" s="47"/>
      <c r="FSS37" s="47"/>
      <c r="FST37" s="47"/>
      <c r="FSU37" s="47"/>
      <c r="FSV37" s="47"/>
      <c r="FSW37" s="47"/>
      <c r="FSX37" s="47"/>
      <c r="FSY37" s="47"/>
      <c r="FSZ37" s="47"/>
      <c r="FTA37" s="47"/>
      <c r="FTB37" s="47"/>
      <c r="FTC37" s="47"/>
      <c r="FTD37" s="47"/>
      <c r="FTE37" s="47"/>
      <c r="FTF37" s="47"/>
      <c r="FTG37" s="47"/>
      <c r="FTH37" s="47"/>
      <c r="FTI37" s="47"/>
      <c r="FTJ37" s="47"/>
      <c r="FTK37" s="47"/>
      <c r="FTL37" s="47"/>
      <c r="FTM37" s="47"/>
      <c r="FTN37" s="47"/>
      <c r="FTO37" s="47"/>
      <c r="FTP37" s="47"/>
      <c r="FTQ37" s="47"/>
      <c r="FTR37" s="47"/>
      <c r="FTS37" s="47"/>
      <c r="FTT37" s="47"/>
      <c r="FTU37" s="47"/>
      <c r="FTV37" s="47"/>
      <c r="FTW37" s="47"/>
      <c r="FTX37" s="47"/>
      <c r="FTY37" s="47"/>
      <c r="FTZ37" s="47"/>
      <c r="FUA37" s="47"/>
      <c r="FUB37" s="47"/>
      <c r="FUC37" s="47"/>
      <c r="FUD37" s="47"/>
      <c r="FUE37" s="47"/>
      <c r="FUF37" s="47"/>
      <c r="FUG37" s="47"/>
      <c r="FUH37" s="47"/>
      <c r="FUI37" s="47"/>
      <c r="FUJ37" s="47"/>
      <c r="FUK37" s="47"/>
      <c r="FUL37" s="47"/>
      <c r="FUM37" s="47"/>
      <c r="FUN37" s="47"/>
      <c r="FUO37" s="47"/>
      <c r="FUP37" s="47"/>
      <c r="FUQ37" s="47"/>
      <c r="FUR37" s="47"/>
      <c r="FUS37" s="47"/>
      <c r="FUT37" s="47"/>
      <c r="FUU37" s="47"/>
      <c r="FUV37" s="47"/>
      <c r="FUW37" s="47"/>
      <c r="FUX37" s="47"/>
      <c r="FUY37" s="47"/>
      <c r="FUZ37" s="47"/>
      <c r="FVA37" s="47"/>
      <c r="FVB37" s="47"/>
      <c r="FVC37" s="47"/>
      <c r="FVD37" s="47"/>
      <c r="FVE37" s="47"/>
      <c r="FVF37" s="47"/>
      <c r="FVG37" s="47"/>
      <c r="FVH37" s="47"/>
      <c r="FVI37" s="47"/>
      <c r="FVJ37" s="47"/>
      <c r="FVK37" s="47"/>
      <c r="FVL37" s="47"/>
      <c r="FVM37" s="47"/>
      <c r="FVN37" s="47"/>
      <c r="FVO37" s="47"/>
      <c r="FVP37" s="47"/>
      <c r="FVQ37" s="47"/>
      <c r="FVR37" s="47"/>
      <c r="FVS37" s="47"/>
      <c r="FVT37" s="47"/>
      <c r="FVU37" s="47"/>
      <c r="FVV37" s="47"/>
      <c r="FVW37" s="47"/>
      <c r="FVX37" s="47"/>
      <c r="FVY37" s="47"/>
      <c r="FVZ37" s="47"/>
      <c r="FWA37" s="47"/>
      <c r="FWB37" s="47"/>
      <c r="FWC37" s="47"/>
      <c r="FWD37" s="47"/>
      <c r="FWE37" s="47"/>
      <c r="FWF37" s="47"/>
      <c r="FWG37" s="47"/>
      <c r="FWH37" s="47"/>
      <c r="FWI37" s="47"/>
      <c r="FWJ37" s="47"/>
      <c r="FWK37" s="47"/>
      <c r="FWL37" s="47"/>
      <c r="FWM37" s="47"/>
      <c r="FWN37" s="47"/>
      <c r="FWO37" s="47"/>
      <c r="FWP37" s="47"/>
      <c r="FWQ37" s="47"/>
      <c r="FWR37" s="47"/>
      <c r="FWS37" s="47"/>
      <c r="FWT37" s="47"/>
      <c r="FWU37" s="47"/>
      <c r="FWV37" s="47"/>
      <c r="FWW37" s="47"/>
      <c r="FWX37" s="47"/>
      <c r="FWY37" s="47"/>
      <c r="FWZ37" s="47"/>
      <c r="FXA37" s="47"/>
      <c r="FXB37" s="47"/>
      <c r="FXC37" s="47"/>
      <c r="FXD37" s="47"/>
      <c r="FXE37" s="47"/>
      <c r="FXF37" s="47"/>
      <c r="FXG37" s="47"/>
      <c r="FXH37" s="47"/>
      <c r="FXI37" s="47"/>
      <c r="FXJ37" s="47"/>
      <c r="FXK37" s="47"/>
      <c r="FXL37" s="47"/>
      <c r="FXM37" s="47"/>
      <c r="FXN37" s="47"/>
      <c r="FXO37" s="47"/>
      <c r="FXP37" s="47"/>
      <c r="FXQ37" s="47"/>
      <c r="FXR37" s="47"/>
      <c r="FXS37" s="47"/>
      <c r="FXT37" s="47"/>
      <c r="FXU37" s="47"/>
      <c r="FXV37" s="47"/>
      <c r="FXW37" s="47"/>
      <c r="FXX37" s="47"/>
      <c r="FXY37" s="47"/>
      <c r="FXZ37" s="47"/>
      <c r="FYA37" s="47"/>
      <c r="FYB37" s="47"/>
      <c r="FYC37" s="47"/>
      <c r="FYD37" s="47"/>
      <c r="FYE37" s="47"/>
      <c r="FYF37" s="47"/>
      <c r="FYG37" s="47"/>
      <c r="FYH37" s="47"/>
      <c r="FYI37" s="47"/>
      <c r="FYJ37" s="47"/>
      <c r="FYK37" s="47"/>
      <c r="FYL37" s="47"/>
      <c r="FYM37" s="47"/>
      <c r="FYN37" s="47"/>
      <c r="FYO37" s="47"/>
      <c r="FYP37" s="47"/>
      <c r="FYQ37" s="47"/>
      <c r="FYR37" s="47"/>
      <c r="FYS37" s="47"/>
      <c r="FYT37" s="47"/>
      <c r="FYU37" s="47"/>
      <c r="FYV37" s="47"/>
      <c r="FYW37" s="47"/>
      <c r="FYX37" s="47"/>
      <c r="FYY37" s="47"/>
      <c r="FYZ37" s="47"/>
      <c r="FZA37" s="47"/>
      <c r="FZB37" s="47"/>
      <c r="FZC37" s="47"/>
      <c r="FZD37" s="47"/>
      <c r="FZE37" s="47"/>
      <c r="FZF37" s="47"/>
      <c r="FZG37" s="47"/>
      <c r="FZH37" s="47"/>
      <c r="FZI37" s="47"/>
      <c r="FZJ37" s="47"/>
      <c r="FZK37" s="47"/>
      <c r="FZL37" s="47"/>
      <c r="FZM37" s="47"/>
      <c r="FZN37" s="47"/>
      <c r="FZO37" s="47"/>
      <c r="FZP37" s="47"/>
      <c r="FZQ37" s="47"/>
      <c r="FZR37" s="47"/>
      <c r="FZS37" s="47"/>
      <c r="FZT37" s="47"/>
      <c r="FZU37" s="47"/>
      <c r="FZV37" s="47"/>
      <c r="FZW37" s="47"/>
      <c r="FZX37" s="47"/>
      <c r="FZY37" s="47"/>
      <c r="FZZ37" s="47"/>
      <c r="GAA37" s="47"/>
      <c r="GAB37" s="47"/>
      <c r="GAC37" s="47"/>
      <c r="GAD37" s="47"/>
      <c r="GAE37" s="47"/>
      <c r="GAF37" s="47"/>
      <c r="GAG37" s="47"/>
      <c r="GAH37" s="47"/>
      <c r="GAI37" s="47"/>
      <c r="GAJ37" s="47"/>
      <c r="GAK37" s="47"/>
      <c r="GAL37" s="47"/>
      <c r="GAM37" s="47"/>
      <c r="GAN37" s="47"/>
      <c r="GAO37" s="47"/>
      <c r="GAP37" s="47"/>
      <c r="GAQ37" s="47"/>
      <c r="GAR37" s="47"/>
      <c r="GAS37" s="47"/>
      <c r="GAT37" s="47"/>
      <c r="GAU37" s="47"/>
      <c r="GAV37" s="47"/>
      <c r="GAW37" s="47"/>
      <c r="GAX37" s="47"/>
      <c r="GAY37" s="47"/>
      <c r="GAZ37" s="47"/>
      <c r="GBA37" s="47"/>
      <c r="GBB37" s="47"/>
      <c r="GBC37" s="47"/>
      <c r="GBD37" s="47"/>
      <c r="GBE37" s="47"/>
      <c r="GBF37" s="47"/>
      <c r="GBG37" s="47"/>
      <c r="GBH37" s="47"/>
      <c r="GBI37" s="47"/>
      <c r="GBJ37" s="47"/>
      <c r="GBK37" s="47"/>
      <c r="GBL37" s="47"/>
      <c r="GBM37" s="47"/>
      <c r="GBN37" s="47"/>
      <c r="GBO37" s="47"/>
      <c r="GBP37" s="47"/>
      <c r="GBQ37" s="47"/>
      <c r="GBR37" s="47"/>
      <c r="GBS37" s="47"/>
      <c r="GBT37" s="47"/>
      <c r="GBU37" s="47"/>
      <c r="GBV37" s="47"/>
      <c r="GBW37" s="47"/>
      <c r="GBX37" s="47"/>
      <c r="GBY37" s="47"/>
      <c r="GBZ37" s="47"/>
      <c r="GCA37" s="47"/>
      <c r="GCB37" s="47"/>
      <c r="GCC37" s="47"/>
      <c r="GCD37" s="47"/>
      <c r="GCE37" s="47"/>
      <c r="GCF37" s="47"/>
      <c r="GCG37" s="47"/>
      <c r="GCH37" s="47"/>
      <c r="GCI37" s="47"/>
      <c r="GCJ37" s="47"/>
      <c r="GCK37" s="47"/>
      <c r="GCL37" s="47"/>
      <c r="GCM37" s="47"/>
      <c r="GCN37" s="47"/>
      <c r="GCO37" s="47"/>
      <c r="GCP37" s="47"/>
      <c r="GCQ37" s="47"/>
      <c r="GCR37" s="47"/>
      <c r="GCS37" s="47"/>
      <c r="GCT37" s="47"/>
      <c r="GCU37" s="47"/>
      <c r="GCV37" s="47"/>
      <c r="GCW37" s="47"/>
      <c r="GCX37" s="47"/>
      <c r="GCY37" s="47"/>
      <c r="GCZ37" s="47"/>
      <c r="GDA37" s="47"/>
      <c r="GDB37" s="47"/>
      <c r="GDC37" s="47"/>
      <c r="GDD37" s="47"/>
      <c r="GDE37" s="47"/>
      <c r="GDF37" s="47"/>
      <c r="GDG37" s="47"/>
      <c r="GDH37" s="47"/>
      <c r="GDI37" s="47"/>
      <c r="GDJ37" s="47"/>
      <c r="GDK37" s="47"/>
      <c r="GDL37" s="47"/>
      <c r="GDM37" s="47"/>
      <c r="GDN37" s="47"/>
      <c r="GDO37" s="47"/>
      <c r="GDP37" s="47"/>
      <c r="GDQ37" s="47"/>
      <c r="GDR37" s="47"/>
      <c r="GDS37" s="47"/>
      <c r="GDT37" s="47"/>
      <c r="GDU37" s="47"/>
      <c r="GDV37" s="47"/>
      <c r="GDW37" s="47"/>
      <c r="GDX37" s="47"/>
      <c r="GDY37" s="47"/>
      <c r="GDZ37" s="47"/>
      <c r="GEA37" s="47"/>
      <c r="GEB37" s="47"/>
      <c r="GEC37" s="47"/>
      <c r="GED37" s="47"/>
      <c r="GEE37" s="47"/>
      <c r="GEF37" s="47"/>
      <c r="GEG37" s="47"/>
      <c r="GEH37" s="47"/>
      <c r="GEI37" s="47"/>
      <c r="GEJ37" s="47"/>
      <c r="GEK37" s="47"/>
      <c r="GEL37" s="47"/>
      <c r="GEM37" s="47"/>
      <c r="GEN37" s="47"/>
      <c r="GEO37" s="47"/>
      <c r="GEP37" s="47"/>
      <c r="GEQ37" s="47"/>
      <c r="GER37" s="47"/>
      <c r="GES37" s="47"/>
      <c r="GET37" s="47"/>
      <c r="GEU37" s="47"/>
      <c r="GEV37" s="47"/>
      <c r="GEW37" s="47"/>
      <c r="GEX37" s="47"/>
      <c r="GEY37" s="47"/>
      <c r="GEZ37" s="47"/>
      <c r="GFA37" s="47"/>
      <c r="GFB37" s="47"/>
      <c r="GFC37" s="47"/>
      <c r="GFD37" s="47"/>
      <c r="GFE37" s="47"/>
      <c r="GFF37" s="47"/>
      <c r="GFG37" s="47"/>
      <c r="GFH37" s="47"/>
      <c r="GFI37" s="47"/>
      <c r="GFJ37" s="47"/>
      <c r="GFK37" s="47"/>
      <c r="GFL37" s="47"/>
      <c r="GFM37" s="47"/>
      <c r="GFN37" s="47"/>
      <c r="GFO37" s="47"/>
      <c r="GFP37" s="47"/>
      <c r="GFQ37" s="47"/>
      <c r="GFR37" s="47"/>
      <c r="GFS37" s="47"/>
      <c r="GFT37" s="47"/>
      <c r="GFU37" s="47"/>
      <c r="GFV37" s="47"/>
      <c r="GFW37" s="47"/>
      <c r="GFX37" s="47"/>
      <c r="GFY37" s="47"/>
      <c r="GFZ37" s="47"/>
      <c r="GGA37" s="47"/>
      <c r="GGB37" s="47"/>
      <c r="GGC37" s="47"/>
      <c r="GGD37" s="47"/>
      <c r="GGE37" s="47"/>
      <c r="GGF37" s="47"/>
      <c r="GGG37" s="47"/>
      <c r="GGH37" s="47"/>
      <c r="GGI37" s="47"/>
      <c r="GGJ37" s="47"/>
      <c r="GGK37" s="47"/>
      <c r="GGL37" s="47"/>
      <c r="GGM37" s="47"/>
      <c r="GGN37" s="47"/>
      <c r="GGO37" s="47"/>
      <c r="GGP37" s="47"/>
      <c r="GGQ37" s="47"/>
      <c r="GGR37" s="47"/>
      <c r="GGS37" s="47"/>
      <c r="GGT37" s="47"/>
      <c r="GGU37" s="47"/>
      <c r="GGV37" s="47"/>
      <c r="GGW37" s="47"/>
      <c r="GGX37" s="47"/>
      <c r="GGY37" s="47"/>
      <c r="GGZ37" s="47"/>
      <c r="GHA37" s="47"/>
      <c r="GHB37" s="47"/>
      <c r="GHC37" s="47"/>
      <c r="GHD37" s="47"/>
      <c r="GHE37" s="47"/>
      <c r="GHF37" s="47"/>
      <c r="GHG37" s="47"/>
      <c r="GHH37" s="47"/>
      <c r="GHI37" s="47"/>
      <c r="GHJ37" s="47"/>
      <c r="GHK37" s="47"/>
      <c r="GHL37" s="47"/>
      <c r="GHM37" s="47"/>
      <c r="GHN37" s="47"/>
      <c r="GHO37" s="47"/>
      <c r="GHP37" s="47"/>
      <c r="GHQ37" s="47"/>
      <c r="GHR37" s="47"/>
      <c r="GHS37" s="47"/>
      <c r="GHT37" s="47"/>
      <c r="GHU37" s="47"/>
      <c r="GHV37" s="47"/>
      <c r="GHW37" s="47"/>
      <c r="GHX37" s="47"/>
      <c r="GHY37" s="47"/>
      <c r="GHZ37" s="47"/>
      <c r="GIA37" s="47"/>
      <c r="GIB37" s="47"/>
      <c r="GIC37" s="47"/>
      <c r="GID37" s="47"/>
      <c r="GIE37" s="47"/>
      <c r="GIF37" s="47"/>
      <c r="GIG37" s="47"/>
      <c r="GIH37" s="47"/>
      <c r="GII37" s="47"/>
      <c r="GIJ37" s="47"/>
      <c r="GIK37" s="47"/>
      <c r="GIL37" s="47"/>
      <c r="GIM37" s="47"/>
      <c r="GIN37" s="47"/>
      <c r="GIO37" s="47"/>
      <c r="GIP37" s="47"/>
      <c r="GIQ37" s="47"/>
      <c r="GIR37" s="47"/>
      <c r="GIS37" s="47"/>
      <c r="GIT37" s="47"/>
      <c r="GIU37" s="47"/>
      <c r="GIV37" s="47"/>
      <c r="GIW37" s="47"/>
      <c r="GIX37" s="47"/>
      <c r="GIY37" s="47"/>
      <c r="GIZ37" s="47"/>
      <c r="GJA37" s="47"/>
      <c r="GJB37" s="47"/>
      <c r="GJC37" s="47"/>
      <c r="GJD37" s="47"/>
      <c r="GJE37" s="47"/>
      <c r="GJF37" s="47"/>
      <c r="GJG37" s="47"/>
      <c r="GJH37" s="47"/>
      <c r="GJI37" s="47"/>
      <c r="GJJ37" s="47"/>
      <c r="GJK37" s="47"/>
      <c r="GJL37" s="47"/>
      <c r="GJM37" s="47"/>
      <c r="GJN37" s="47"/>
      <c r="GJO37" s="47"/>
      <c r="GJP37" s="47"/>
      <c r="GJQ37" s="47"/>
      <c r="GJR37" s="47"/>
      <c r="GJS37" s="47"/>
      <c r="GJT37" s="47"/>
      <c r="GJU37" s="47"/>
      <c r="GJV37" s="47"/>
      <c r="GJW37" s="47"/>
      <c r="GJX37" s="47"/>
      <c r="GJY37" s="47"/>
      <c r="GJZ37" s="47"/>
      <c r="GKA37" s="47"/>
      <c r="GKB37" s="47"/>
      <c r="GKC37" s="47"/>
      <c r="GKD37" s="47"/>
      <c r="GKE37" s="47"/>
      <c r="GKF37" s="47"/>
      <c r="GKG37" s="47"/>
      <c r="GKH37" s="47"/>
      <c r="GKI37" s="47"/>
      <c r="GKJ37" s="47"/>
      <c r="GKK37" s="47"/>
      <c r="GKL37" s="47"/>
      <c r="GKM37" s="47"/>
      <c r="GKN37" s="47"/>
      <c r="GKO37" s="47"/>
      <c r="GKP37" s="47"/>
      <c r="GKQ37" s="47"/>
      <c r="GKR37" s="47"/>
      <c r="GKS37" s="47"/>
      <c r="GKT37" s="47"/>
      <c r="GKU37" s="47"/>
      <c r="GKV37" s="47"/>
      <c r="GKW37" s="47"/>
      <c r="GKX37" s="47"/>
      <c r="GKY37" s="47"/>
      <c r="GKZ37" s="47"/>
      <c r="GLA37" s="47"/>
      <c r="GLB37" s="47"/>
      <c r="GLC37" s="47"/>
      <c r="GLD37" s="47"/>
      <c r="GLE37" s="47"/>
      <c r="GLF37" s="47"/>
      <c r="GLG37" s="47"/>
      <c r="GLH37" s="47"/>
      <c r="GLI37" s="47"/>
      <c r="GLJ37" s="47"/>
      <c r="GLK37" s="47"/>
      <c r="GLL37" s="47"/>
      <c r="GLM37" s="47"/>
      <c r="GLN37" s="47"/>
      <c r="GLO37" s="47"/>
      <c r="GLP37" s="47"/>
      <c r="GLQ37" s="47"/>
      <c r="GLR37" s="47"/>
      <c r="GLS37" s="47"/>
      <c r="GLT37" s="47"/>
      <c r="GLU37" s="47"/>
      <c r="GLV37" s="47"/>
      <c r="GLW37" s="47"/>
      <c r="GLX37" s="47"/>
      <c r="GLY37" s="47"/>
      <c r="GLZ37" s="47"/>
      <c r="GMA37" s="47"/>
      <c r="GMB37" s="47"/>
      <c r="GMC37" s="47"/>
      <c r="GMD37" s="47"/>
      <c r="GME37" s="47"/>
      <c r="GMF37" s="47"/>
      <c r="GMG37" s="47"/>
      <c r="GMH37" s="47"/>
      <c r="GMI37" s="47"/>
      <c r="GMJ37" s="47"/>
      <c r="GMK37" s="47"/>
      <c r="GML37" s="47"/>
      <c r="GMM37" s="47"/>
      <c r="GMN37" s="47"/>
      <c r="GMO37" s="47"/>
      <c r="GMP37" s="47"/>
      <c r="GMQ37" s="47"/>
      <c r="GMR37" s="47"/>
      <c r="GMS37" s="47"/>
      <c r="GMT37" s="47"/>
      <c r="GMU37" s="47"/>
      <c r="GMV37" s="47"/>
      <c r="GMW37" s="47"/>
      <c r="GMX37" s="47"/>
      <c r="GMY37" s="47"/>
      <c r="GMZ37" s="47"/>
      <c r="GNA37" s="47"/>
      <c r="GNB37" s="47"/>
      <c r="GNC37" s="47"/>
      <c r="GND37" s="47"/>
      <c r="GNE37" s="47"/>
      <c r="GNF37" s="47"/>
      <c r="GNG37" s="47"/>
      <c r="GNH37" s="47"/>
      <c r="GNI37" s="47"/>
      <c r="GNJ37" s="47"/>
      <c r="GNK37" s="47"/>
      <c r="GNL37" s="47"/>
      <c r="GNM37" s="47"/>
      <c r="GNN37" s="47"/>
      <c r="GNO37" s="47"/>
      <c r="GNP37" s="47"/>
      <c r="GNQ37" s="47"/>
      <c r="GNR37" s="47"/>
      <c r="GNS37" s="47"/>
      <c r="GNT37" s="47"/>
      <c r="GNU37" s="47"/>
      <c r="GNV37" s="47"/>
      <c r="GNW37" s="47"/>
      <c r="GNX37" s="47"/>
      <c r="GNY37" s="47"/>
      <c r="GNZ37" s="47"/>
      <c r="GOA37" s="47"/>
      <c r="GOB37" s="47"/>
      <c r="GOC37" s="47"/>
      <c r="GOD37" s="47"/>
      <c r="GOE37" s="47"/>
      <c r="GOF37" s="47"/>
      <c r="GOG37" s="47"/>
      <c r="GOH37" s="47"/>
      <c r="GOI37" s="47"/>
      <c r="GOJ37" s="47"/>
      <c r="GOK37" s="47"/>
      <c r="GOL37" s="47"/>
      <c r="GOM37" s="47"/>
      <c r="GON37" s="47"/>
      <c r="GOO37" s="47"/>
      <c r="GOP37" s="47"/>
      <c r="GOQ37" s="47"/>
      <c r="GOR37" s="47"/>
      <c r="GOS37" s="47"/>
      <c r="GOT37" s="47"/>
      <c r="GOU37" s="47"/>
      <c r="GOV37" s="47"/>
      <c r="GOW37" s="47"/>
      <c r="GOX37" s="47"/>
      <c r="GOY37" s="47"/>
      <c r="GOZ37" s="47"/>
      <c r="GPA37" s="47"/>
      <c r="GPB37" s="47"/>
      <c r="GPC37" s="47"/>
      <c r="GPD37" s="47"/>
      <c r="GPE37" s="47"/>
      <c r="GPF37" s="47"/>
      <c r="GPG37" s="47"/>
      <c r="GPH37" s="47"/>
      <c r="GPI37" s="47"/>
      <c r="GPJ37" s="47"/>
      <c r="GPK37" s="47"/>
      <c r="GPL37" s="47"/>
      <c r="GPM37" s="47"/>
      <c r="GPN37" s="47"/>
      <c r="GPO37" s="47"/>
      <c r="GPP37" s="47"/>
      <c r="GPQ37" s="47"/>
      <c r="GPR37" s="47"/>
      <c r="GPS37" s="47"/>
      <c r="GPT37" s="47"/>
      <c r="GPU37" s="47"/>
      <c r="GPV37" s="47"/>
      <c r="GPW37" s="47"/>
      <c r="GPX37" s="47"/>
      <c r="GPY37" s="47"/>
      <c r="GPZ37" s="47"/>
      <c r="GQA37" s="47"/>
      <c r="GQB37" s="47"/>
      <c r="GQC37" s="47"/>
      <c r="GQD37" s="47"/>
      <c r="GQE37" s="47"/>
      <c r="GQF37" s="47"/>
      <c r="GQG37" s="47"/>
      <c r="GQH37" s="47"/>
      <c r="GQI37" s="47"/>
      <c r="GQJ37" s="47"/>
      <c r="GQK37" s="47"/>
      <c r="GQL37" s="47"/>
      <c r="GQM37" s="47"/>
      <c r="GQN37" s="47"/>
      <c r="GQO37" s="47"/>
      <c r="GQP37" s="47"/>
      <c r="GQQ37" s="47"/>
      <c r="GQR37" s="47"/>
      <c r="GQS37" s="47"/>
      <c r="GQT37" s="47"/>
      <c r="GQU37" s="47"/>
      <c r="GQV37" s="47"/>
      <c r="GQW37" s="47"/>
      <c r="GQX37" s="47"/>
      <c r="GQY37" s="47"/>
      <c r="GQZ37" s="47"/>
      <c r="GRA37" s="47"/>
      <c r="GRB37" s="47"/>
      <c r="GRC37" s="47"/>
      <c r="GRD37" s="47"/>
      <c r="GRE37" s="47"/>
      <c r="GRF37" s="47"/>
      <c r="GRG37" s="47"/>
      <c r="GRH37" s="47"/>
      <c r="GRI37" s="47"/>
      <c r="GRJ37" s="47"/>
      <c r="GRK37" s="47"/>
      <c r="GRL37" s="47"/>
      <c r="GRM37" s="47"/>
      <c r="GRN37" s="47"/>
      <c r="GRO37" s="47"/>
      <c r="GRP37" s="47"/>
      <c r="GRQ37" s="47"/>
      <c r="GRR37" s="47"/>
      <c r="GRS37" s="47"/>
      <c r="GRT37" s="47"/>
      <c r="GRU37" s="47"/>
      <c r="GRV37" s="47"/>
      <c r="GRW37" s="47"/>
      <c r="GRX37" s="47"/>
      <c r="GRY37" s="47"/>
      <c r="GRZ37" s="47"/>
      <c r="GSA37" s="47"/>
      <c r="GSB37" s="47"/>
      <c r="GSC37" s="47"/>
      <c r="GSD37" s="47"/>
      <c r="GSE37" s="47"/>
      <c r="GSF37" s="47"/>
      <c r="GSG37" s="47"/>
      <c r="GSH37" s="47"/>
      <c r="GSI37" s="47"/>
      <c r="GSJ37" s="47"/>
      <c r="GSK37" s="47"/>
      <c r="GSL37" s="47"/>
      <c r="GSM37" s="47"/>
      <c r="GSN37" s="47"/>
      <c r="GSO37" s="47"/>
      <c r="GSP37" s="47"/>
      <c r="GSQ37" s="47"/>
      <c r="GSR37" s="47"/>
      <c r="GSS37" s="47"/>
      <c r="GST37" s="47"/>
      <c r="GSU37" s="47"/>
      <c r="GSV37" s="47"/>
      <c r="GSW37" s="47"/>
      <c r="GSX37" s="47"/>
      <c r="GSY37" s="47"/>
      <c r="GSZ37" s="47"/>
      <c r="GTA37" s="47"/>
      <c r="GTB37" s="47"/>
      <c r="GTC37" s="47"/>
      <c r="GTD37" s="47"/>
      <c r="GTE37" s="47"/>
      <c r="GTF37" s="47"/>
      <c r="GTG37" s="47"/>
      <c r="GTH37" s="47"/>
      <c r="GTI37" s="47"/>
      <c r="GTJ37" s="47"/>
      <c r="GTK37" s="47"/>
      <c r="GTL37" s="47"/>
      <c r="GTM37" s="47"/>
      <c r="GTN37" s="47"/>
      <c r="GTO37" s="47"/>
      <c r="GTP37" s="47"/>
      <c r="GTQ37" s="47"/>
      <c r="GTR37" s="47"/>
      <c r="GTS37" s="47"/>
      <c r="GTT37" s="47"/>
      <c r="GTU37" s="47"/>
      <c r="GTV37" s="47"/>
      <c r="GTW37" s="47"/>
      <c r="GTX37" s="47"/>
      <c r="GTY37" s="47"/>
      <c r="GTZ37" s="47"/>
      <c r="GUA37" s="47"/>
      <c r="GUB37" s="47"/>
      <c r="GUC37" s="47"/>
      <c r="GUD37" s="47"/>
      <c r="GUE37" s="47"/>
      <c r="GUF37" s="47"/>
      <c r="GUG37" s="47"/>
      <c r="GUH37" s="47"/>
      <c r="GUI37" s="47"/>
      <c r="GUJ37" s="47"/>
      <c r="GUK37" s="47"/>
      <c r="GUL37" s="47"/>
      <c r="GUM37" s="47"/>
      <c r="GUN37" s="47"/>
      <c r="GUO37" s="47"/>
      <c r="GUP37" s="47"/>
      <c r="GUQ37" s="47"/>
      <c r="GUR37" s="47"/>
      <c r="GUS37" s="47"/>
      <c r="GUT37" s="47"/>
      <c r="GUU37" s="47"/>
      <c r="GUV37" s="47"/>
      <c r="GUW37" s="47"/>
      <c r="GUX37" s="47"/>
      <c r="GUY37" s="47"/>
      <c r="GUZ37" s="47"/>
      <c r="GVA37" s="47"/>
      <c r="GVB37" s="47"/>
      <c r="GVC37" s="47"/>
      <c r="GVD37" s="47"/>
      <c r="GVE37" s="47"/>
      <c r="GVF37" s="47"/>
      <c r="GVG37" s="47"/>
      <c r="GVH37" s="47"/>
      <c r="GVI37" s="47"/>
      <c r="GVJ37" s="47"/>
      <c r="GVK37" s="47"/>
      <c r="GVL37" s="47"/>
      <c r="GVM37" s="47"/>
      <c r="GVN37" s="47"/>
      <c r="GVO37" s="47"/>
      <c r="GVP37" s="47"/>
      <c r="GVQ37" s="47"/>
      <c r="GVR37" s="47"/>
      <c r="GVS37" s="47"/>
      <c r="GVT37" s="47"/>
      <c r="GVU37" s="47"/>
      <c r="GVV37" s="47"/>
      <c r="GVW37" s="47"/>
      <c r="GVX37" s="47"/>
      <c r="GVY37" s="47"/>
      <c r="GVZ37" s="47"/>
      <c r="GWA37" s="47"/>
      <c r="GWB37" s="47"/>
      <c r="GWC37" s="47"/>
      <c r="GWD37" s="47"/>
      <c r="GWE37" s="47"/>
      <c r="GWF37" s="47"/>
      <c r="GWG37" s="47"/>
      <c r="GWH37" s="47"/>
      <c r="GWI37" s="47"/>
      <c r="GWJ37" s="47"/>
      <c r="GWK37" s="47"/>
      <c r="GWL37" s="47"/>
      <c r="GWM37" s="47"/>
      <c r="GWN37" s="47"/>
      <c r="GWO37" s="47"/>
      <c r="GWP37" s="47"/>
      <c r="GWQ37" s="47"/>
      <c r="GWR37" s="47"/>
      <c r="GWS37" s="47"/>
      <c r="GWT37" s="47"/>
      <c r="GWU37" s="47"/>
      <c r="GWV37" s="47"/>
      <c r="GWW37" s="47"/>
      <c r="GWX37" s="47"/>
      <c r="GWY37" s="47"/>
      <c r="GWZ37" s="47"/>
      <c r="GXA37" s="47"/>
      <c r="GXB37" s="47"/>
      <c r="GXC37" s="47"/>
      <c r="GXD37" s="47"/>
      <c r="GXE37" s="47"/>
      <c r="GXF37" s="47"/>
      <c r="GXG37" s="47"/>
      <c r="GXH37" s="47"/>
      <c r="GXI37" s="47"/>
      <c r="GXJ37" s="47"/>
      <c r="GXK37" s="47"/>
      <c r="GXL37" s="47"/>
      <c r="GXM37" s="47"/>
      <c r="GXN37" s="47"/>
      <c r="GXO37" s="47"/>
      <c r="GXP37" s="47"/>
      <c r="GXQ37" s="47"/>
      <c r="GXR37" s="47"/>
      <c r="GXS37" s="47"/>
      <c r="GXT37" s="47"/>
      <c r="GXU37" s="47"/>
      <c r="GXV37" s="47"/>
      <c r="GXW37" s="47"/>
      <c r="GXX37" s="47"/>
      <c r="GXY37" s="47"/>
      <c r="GXZ37" s="47"/>
      <c r="GYA37" s="47"/>
      <c r="GYB37" s="47"/>
      <c r="GYC37" s="47"/>
      <c r="GYD37" s="47"/>
      <c r="GYE37" s="47"/>
      <c r="GYF37" s="47"/>
      <c r="GYG37" s="47"/>
      <c r="GYH37" s="47"/>
      <c r="GYI37" s="47"/>
      <c r="GYJ37" s="47"/>
      <c r="GYK37" s="47"/>
      <c r="GYL37" s="47"/>
      <c r="GYM37" s="47"/>
      <c r="GYN37" s="47"/>
      <c r="GYO37" s="47"/>
      <c r="GYP37" s="47"/>
      <c r="GYQ37" s="47"/>
      <c r="GYR37" s="47"/>
      <c r="GYS37" s="47"/>
      <c r="GYT37" s="47"/>
      <c r="GYU37" s="47"/>
      <c r="GYV37" s="47"/>
      <c r="GYW37" s="47"/>
      <c r="GYX37" s="47"/>
      <c r="GYY37" s="47"/>
      <c r="GYZ37" s="47"/>
      <c r="GZA37" s="47"/>
      <c r="GZB37" s="47"/>
      <c r="GZC37" s="47"/>
      <c r="GZD37" s="47"/>
      <c r="GZE37" s="47"/>
      <c r="GZF37" s="47"/>
      <c r="GZG37" s="47"/>
      <c r="GZH37" s="47"/>
      <c r="GZI37" s="47"/>
      <c r="GZJ37" s="47"/>
      <c r="GZK37" s="47"/>
      <c r="GZL37" s="47"/>
      <c r="GZM37" s="47"/>
      <c r="GZN37" s="47"/>
      <c r="GZO37" s="47"/>
      <c r="GZP37" s="47"/>
      <c r="GZQ37" s="47"/>
      <c r="GZR37" s="47"/>
      <c r="GZS37" s="47"/>
      <c r="GZT37" s="47"/>
      <c r="GZU37" s="47"/>
      <c r="GZV37" s="47"/>
      <c r="GZW37" s="47"/>
      <c r="GZX37" s="47"/>
      <c r="GZY37" s="47"/>
      <c r="GZZ37" s="47"/>
      <c r="HAA37" s="47"/>
      <c r="HAB37" s="47"/>
      <c r="HAC37" s="47"/>
      <c r="HAD37" s="47"/>
      <c r="HAE37" s="47"/>
      <c r="HAF37" s="47"/>
      <c r="HAG37" s="47"/>
      <c r="HAH37" s="47"/>
      <c r="HAI37" s="47"/>
      <c r="HAJ37" s="47"/>
      <c r="HAK37" s="47"/>
      <c r="HAL37" s="47"/>
      <c r="HAM37" s="47"/>
      <c r="HAN37" s="47"/>
      <c r="HAO37" s="47"/>
      <c r="HAP37" s="47"/>
      <c r="HAQ37" s="47"/>
      <c r="HAR37" s="47"/>
      <c r="HAS37" s="47"/>
      <c r="HAT37" s="47"/>
      <c r="HAU37" s="47"/>
      <c r="HAV37" s="47"/>
      <c r="HAW37" s="47"/>
      <c r="HAX37" s="47"/>
      <c r="HAY37" s="47"/>
      <c r="HAZ37" s="47"/>
      <c r="HBA37" s="47"/>
      <c r="HBB37" s="47"/>
      <c r="HBC37" s="47"/>
      <c r="HBD37" s="47"/>
      <c r="HBE37" s="47"/>
      <c r="HBF37" s="47"/>
      <c r="HBG37" s="47"/>
      <c r="HBH37" s="47"/>
      <c r="HBI37" s="47"/>
      <c r="HBJ37" s="47"/>
      <c r="HBK37" s="47"/>
      <c r="HBL37" s="47"/>
      <c r="HBM37" s="47"/>
      <c r="HBN37" s="47"/>
      <c r="HBO37" s="47"/>
      <c r="HBP37" s="47"/>
      <c r="HBQ37" s="47"/>
      <c r="HBR37" s="47"/>
      <c r="HBS37" s="47"/>
      <c r="HBT37" s="47"/>
      <c r="HBU37" s="47"/>
      <c r="HBV37" s="47"/>
      <c r="HBW37" s="47"/>
      <c r="HBX37" s="47"/>
      <c r="HBY37" s="47"/>
      <c r="HBZ37" s="47"/>
      <c r="HCA37" s="47"/>
      <c r="HCB37" s="47"/>
      <c r="HCC37" s="47"/>
      <c r="HCD37" s="47"/>
      <c r="HCE37" s="47"/>
      <c r="HCF37" s="47"/>
      <c r="HCG37" s="47"/>
      <c r="HCH37" s="47"/>
      <c r="HCI37" s="47"/>
      <c r="HCJ37" s="47"/>
      <c r="HCK37" s="47"/>
      <c r="HCL37" s="47"/>
      <c r="HCM37" s="47"/>
      <c r="HCN37" s="47"/>
      <c r="HCO37" s="47"/>
      <c r="HCP37" s="47"/>
      <c r="HCQ37" s="47"/>
      <c r="HCR37" s="47"/>
      <c r="HCS37" s="47"/>
      <c r="HCT37" s="47"/>
      <c r="HCU37" s="47"/>
      <c r="HCV37" s="47"/>
      <c r="HCW37" s="47"/>
      <c r="HCX37" s="47"/>
      <c r="HCY37" s="47"/>
      <c r="HCZ37" s="47"/>
      <c r="HDA37" s="47"/>
      <c r="HDB37" s="47"/>
      <c r="HDC37" s="47"/>
      <c r="HDD37" s="47"/>
      <c r="HDE37" s="47"/>
      <c r="HDF37" s="47"/>
      <c r="HDG37" s="47"/>
      <c r="HDH37" s="47"/>
      <c r="HDI37" s="47"/>
      <c r="HDJ37" s="47"/>
      <c r="HDK37" s="47"/>
      <c r="HDL37" s="47"/>
      <c r="HDM37" s="47"/>
      <c r="HDN37" s="47"/>
      <c r="HDO37" s="47"/>
      <c r="HDP37" s="47"/>
      <c r="HDQ37" s="47"/>
      <c r="HDR37" s="47"/>
      <c r="HDS37" s="47"/>
      <c r="HDT37" s="47"/>
      <c r="HDU37" s="47"/>
      <c r="HDV37" s="47"/>
      <c r="HDW37" s="47"/>
      <c r="HDX37" s="47"/>
      <c r="HDY37" s="47"/>
      <c r="HDZ37" s="47"/>
      <c r="HEA37" s="47"/>
      <c r="HEB37" s="47"/>
      <c r="HEC37" s="47"/>
      <c r="HED37" s="47"/>
      <c r="HEE37" s="47"/>
      <c r="HEF37" s="47"/>
      <c r="HEG37" s="47"/>
      <c r="HEH37" s="47"/>
      <c r="HEI37" s="47"/>
      <c r="HEJ37" s="47"/>
      <c r="HEK37" s="47"/>
      <c r="HEL37" s="47"/>
      <c r="HEM37" s="47"/>
      <c r="HEN37" s="47"/>
      <c r="HEO37" s="47"/>
      <c r="HEP37" s="47"/>
      <c r="HEQ37" s="47"/>
      <c r="HER37" s="47"/>
      <c r="HES37" s="47"/>
      <c r="HET37" s="47"/>
      <c r="HEU37" s="47"/>
      <c r="HEV37" s="47"/>
      <c r="HEW37" s="47"/>
      <c r="HEX37" s="47"/>
      <c r="HEY37" s="47"/>
      <c r="HEZ37" s="47"/>
      <c r="HFA37" s="47"/>
      <c r="HFB37" s="47"/>
      <c r="HFC37" s="47"/>
      <c r="HFD37" s="47"/>
      <c r="HFE37" s="47"/>
      <c r="HFF37" s="47"/>
      <c r="HFG37" s="47"/>
      <c r="HFH37" s="47"/>
      <c r="HFI37" s="47"/>
      <c r="HFJ37" s="47"/>
      <c r="HFK37" s="47"/>
      <c r="HFL37" s="47"/>
      <c r="HFM37" s="47"/>
      <c r="HFN37" s="47"/>
      <c r="HFO37" s="47"/>
      <c r="HFP37" s="47"/>
      <c r="HFQ37" s="47"/>
      <c r="HFR37" s="47"/>
      <c r="HFS37" s="47"/>
      <c r="HFT37" s="47"/>
      <c r="HFU37" s="47"/>
      <c r="HFV37" s="47"/>
      <c r="HFW37" s="47"/>
      <c r="HFX37" s="47"/>
      <c r="HFY37" s="47"/>
      <c r="HFZ37" s="47"/>
      <c r="HGA37" s="47"/>
      <c r="HGB37" s="47"/>
      <c r="HGC37" s="47"/>
      <c r="HGD37" s="47"/>
      <c r="HGE37" s="47"/>
      <c r="HGF37" s="47"/>
      <c r="HGG37" s="47"/>
      <c r="HGH37" s="47"/>
      <c r="HGI37" s="47"/>
      <c r="HGJ37" s="47"/>
      <c r="HGK37" s="47"/>
      <c r="HGL37" s="47"/>
      <c r="HGM37" s="47"/>
      <c r="HGN37" s="47"/>
      <c r="HGO37" s="47"/>
      <c r="HGP37" s="47"/>
      <c r="HGQ37" s="47"/>
      <c r="HGR37" s="47"/>
      <c r="HGS37" s="47"/>
      <c r="HGT37" s="47"/>
      <c r="HGU37" s="47"/>
      <c r="HGV37" s="47"/>
      <c r="HGW37" s="47"/>
      <c r="HGX37" s="47"/>
      <c r="HGY37" s="47"/>
      <c r="HGZ37" s="47"/>
      <c r="HHA37" s="47"/>
      <c r="HHB37" s="47"/>
      <c r="HHC37" s="47"/>
      <c r="HHD37" s="47"/>
      <c r="HHE37" s="47"/>
      <c r="HHF37" s="47"/>
      <c r="HHG37" s="47"/>
      <c r="HHH37" s="47"/>
      <c r="HHI37" s="47"/>
      <c r="HHJ37" s="47"/>
      <c r="HHK37" s="47"/>
      <c r="HHL37" s="47"/>
      <c r="HHM37" s="47"/>
      <c r="HHN37" s="47"/>
      <c r="HHO37" s="47"/>
      <c r="HHP37" s="47"/>
      <c r="HHQ37" s="47"/>
      <c r="HHR37" s="47"/>
      <c r="HHS37" s="47"/>
      <c r="HHT37" s="47"/>
      <c r="HHU37" s="47"/>
      <c r="HHV37" s="47"/>
      <c r="HHW37" s="47"/>
      <c r="HHX37" s="47"/>
      <c r="HHY37" s="47"/>
      <c r="HHZ37" s="47"/>
      <c r="HIA37" s="47"/>
      <c r="HIB37" s="47"/>
      <c r="HIC37" s="47"/>
      <c r="HID37" s="47"/>
      <c r="HIE37" s="47"/>
      <c r="HIF37" s="47"/>
      <c r="HIG37" s="47"/>
      <c r="HIH37" s="47"/>
      <c r="HII37" s="47"/>
      <c r="HIJ37" s="47"/>
      <c r="HIK37" s="47"/>
      <c r="HIL37" s="47"/>
      <c r="HIM37" s="47"/>
      <c r="HIN37" s="47"/>
      <c r="HIO37" s="47"/>
      <c r="HIP37" s="47"/>
      <c r="HIQ37" s="47"/>
      <c r="HIR37" s="47"/>
      <c r="HIS37" s="47"/>
      <c r="HIT37" s="47"/>
      <c r="HIU37" s="47"/>
      <c r="HIV37" s="47"/>
      <c r="HIW37" s="47"/>
      <c r="HIX37" s="47"/>
      <c r="HIY37" s="47"/>
      <c r="HIZ37" s="47"/>
      <c r="HJA37" s="47"/>
      <c r="HJB37" s="47"/>
      <c r="HJC37" s="47"/>
      <c r="HJD37" s="47"/>
      <c r="HJE37" s="47"/>
      <c r="HJF37" s="47"/>
      <c r="HJG37" s="47"/>
      <c r="HJH37" s="47"/>
      <c r="HJI37" s="47"/>
      <c r="HJJ37" s="47"/>
      <c r="HJK37" s="47"/>
      <c r="HJL37" s="47"/>
      <c r="HJM37" s="47"/>
      <c r="HJN37" s="47"/>
      <c r="HJO37" s="47"/>
      <c r="HJP37" s="47"/>
      <c r="HJQ37" s="47"/>
      <c r="HJR37" s="47"/>
      <c r="HJS37" s="47"/>
      <c r="HJT37" s="47"/>
      <c r="HJU37" s="47"/>
      <c r="HJV37" s="47"/>
      <c r="HJW37" s="47"/>
      <c r="HJX37" s="47"/>
      <c r="HJY37" s="47"/>
      <c r="HJZ37" s="47"/>
      <c r="HKA37" s="47"/>
      <c r="HKB37" s="47"/>
      <c r="HKC37" s="47"/>
      <c r="HKD37" s="47"/>
      <c r="HKE37" s="47"/>
      <c r="HKF37" s="47"/>
      <c r="HKG37" s="47"/>
      <c r="HKH37" s="47"/>
      <c r="HKI37" s="47"/>
      <c r="HKJ37" s="47"/>
      <c r="HKK37" s="47"/>
      <c r="HKL37" s="47"/>
      <c r="HKM37" s="47"/>
      <c r="HKN37" s="47"/>
      <c r="HKO37" s="47"/>
      <c r="HKP37" s="47"/>
      <c r="HKQ37" s="47"/>
      <c r="HKR37" s="47"/>
      <c r="HKS37" s="47"/>
      <c r="HKT37" s="47"/>
      <c r="HKU37" s="47"/>
      <c r="HKV37" s="47"/>
      <c r="HKW37" s="47"/>
      <c r="HKX37" s="47"/>
      <c r="HKY37" s="47"/>
      <c r="HKZ37" s="47"/>
      <c r="HLA37" s="47"/>
      <c r="HLB37" s="47"/>
      <c r="HLC37" s="47"/>
      <c r="HLD37" s="47"/>
      <c r="HLE37" s="47"/>
      <c r="HLF37" s="47"/>
      <c r="HLG37" s="47"/>
      <c r="HLH37" s="47"/>
      <c r="HLI37" s="47"/>
      <c r="HLJ37" s="47"/>
      <c r="HLK37" s="47"/>
      <c r="HLL37" s="47"/>
      <c r="HLM37" s="47"/>
      <c r="HLN37" s="47"/>
      <c r="HLO37" s="47"/>
      <c r="HLP37" s="47"/>
      <c r="HLQ37" s="47"/>
      <c r="HLR37" s="47"/>
      <c r="HLS37" s="47"/>
      <c r="HLT37" s="47"/>
      <c r="HLU37" s="47"/>
      <c r="HLV37" s="47"/>
      <c r="HLW37" s="47"/>
      <c r="HLX37" s="47"/>
      <c r="HLY37" s="47"/>
      <c r="HLZ37" s="47"/>
      <c r="HMA37" s="47"/>
      <c r="HMB37" s="47"/>
      <c r="HMC37" s="47"/>
      <c r="HMD37" s="47"/>
      <c r="HME37" s="47"/>
      <c r="HMF37" s="47"/>
      <c r="HMG37" s="47"/>
      <c r="HMH37" s="47"/>
      <c r="HMI37" s="47"/>
      <c r="HMJ37" s="47"/>
      <c r="HMK37" s="47"/>
      <c r="HML37" s="47"/>
      <c r="HMM37" s="47"/>
      <c r="HMN37" s="47"/>
      <c r="HMO37" s="47"/>
      <c r="HMP37" s="47"/>
      <c r="HMQ37" s="47"/>
      <c r="HMR37" s="47"/>
      <c r="HMS37" s="47"/>
      <c r="HMT37" s="47"/>
      <c r="HMU37" s="47"/>
      <c r="HMV37" s="47"/>
      <c r="HMW37" s="47"/>
      <c r="HMX37" s="47"/>
      <c r="HMY37" s="47"/>
      <c r="HMZ37" s="47"/>
      <c r="HNA37" s="47"/>
      <c r="HNB37" s="47"/>
      <c r="HNC37" s="47"/>
      <c r="HND37" s="47"/>
      <c r="HNE37" s="47"/>
      <c r="HNF37" s="47"/>
      <c r="HNG37" s="47"/>
      <c r="HNH37" s="47"/>
      <c r="HNI37" s="47"/>
      <c r="HNJ37" s="47"/>
      <c r="HNK37" s="47"/>
      <c r="HNL37" s="47"/>
      <c r="HNM37" s="47"/>
      <c r="HNN37" s="47"/>
      <c r="HNO37" s="47"/>
      <c r="HNP37" s="47"/>
      <c r="HNQ37" s="47"/>
      <c r="HNR37" s="47"/>
      <c r="HNS37" s="47"/>
      <c r="HNT37" s="47"/>
      <c r="HNU37" s="47"/>
      <c r="HNV37" s="47"/>
      <c r="HNW37" s="47"/>
      <c r="HNX37" s="47"/>
      <c r="HNY37" s="47"/>
      <c r="HNZ37" s="47"/>
      <c r="HOA37" s="47"/>
      <c r="HOB37" s="47"/>
      <c r="HOC37" s="47"/>
      <c r="HOD37" s="47"/>
      <c r="HOE37" s="47"/>
      <c r="HOF37" s="47"/>
      <c r="HOG37" s="47"/>
      <c r="HOH37" s="47"/>
      <c r="HOI37" s="47"/>
      <c r="HOJ37" s="47"/>
      <c r="HOK37" s="47"/>
      <c r="HOL37" s="47"/>
      <c r="HOM37" s="47"/>
      <c r="HON37" s="47"/>
      <c r="HOO37" s="47"/>
      <c r="HOP37" s="47"/>
      <c r="HOQ37" s="47"/>
      <c r="HOR37" s="47"/>
      <c r="HOS37" s="47"/>
      <c r="HOT37" s="47"/>
      <c r="HOU37" s="47"/>
      <c r="HOV37" s="47"/>
      <c r="HOW37" s="47"/>
      <c r="HOX37" s="47"/>
      <c r="HOY37" s="47"/>
      <c r="HOZ37" s="47"/>
      <c r="HPA37" s="47"/>
      <c r="HPB37" s="47"/>
      <c r="HPC37" s="47"/>
      <c r="HPD37" s="47"/>
      <c r="HPE37" s="47"/>
      <c r="HPF37" s="47"/>
      <c r="HPG37" s="47"/>
      <c r="HPH37" s="47"/>
      <c r="HPI37" s="47"/>
      <c r="HPJ37" s="47"/>
      <c r="HPK37" s="47"/>
      <c r="HPL37" s="47"/>
      <c r="HPM37" s="47"/>
      <c r="HPN37" s="47"/>
      <c r="HPO37" s="47"/>
      <c r="HPP37" s="47"/>
      <c r="HPQ37" s="47"/>
      <c r="HPR37" s="47"/>
      <c r="HPS37" s="47"/>
      <c r="HPT37" s="47"/>
      <c r="HPU37" s="47"/>
      <c r="HPV37" s="47"/>
      <c r="HPW37" s="47"/>
      <c r="HPX37" s="47"/>
      <c r="HPY37" s="47"/>
      <c r="HPZ37" s="47"/>
      <c r="HQA37" s="47"/>
      <c r="HQB37" s="47"/>
      <c r="HQC37" s="47"/>
      <c r="HQD37" s="47"/>
      <c r="HQE37" s="47"/>
      <c r="HQF37" s="47"/>
      <c r="HQG37" s="47"/>
      <c r="HQH37" s="47"/>
      <c r="HQI37" s="47"/>
      <c r="HQJ37" s="47"/>
      <c r="HQK37" s="47"/>
      <c r="HQL37" s="47"/>
      <c r="HQM37" s="47"/>
      <c r="HQN37" s="47"/>
      <c r="HQO37" s="47"/>
      <c r="HQP37" s="47"/>
      <c r="HQQ37" s="47"/>
      <c r="HQR37" s="47"/>
      <c r="HQS37" s="47"/>
      <c r="HQT37" s="47"/>
      <c r="HQU37" s="47"/>
      <c r="HQV37" s="47"/>
      <c r="HQW37" s="47"/>
      <c r="HQX37" s="47"/>
      <c r="HQY37" s="47"/>
      <c r="HQZ37" s="47"/>
      <c r="HRA37" s="47"/>
      <c r="HRB37" s="47"/>
      <c r="HRC37" s="47"/>
      <c r="HRD37" s="47"/>
      <c r="HRE37" s="47"/>
      <c r="HRF37" s="47"/>
      <c r="HRG37" s="47"/>
      <c r="HRH37" s="47"/>
      <c r="HRI37" s="47"/>
      <c r="HRJ37" s="47"/>
      <c r="HRK37" s="47"/>
      <c r="HRL37" s="47"/>
      <c r="HRM37" s="47"/>
      <c r="HRN37" s="47"/>
      <c r="HRO37" s="47"/>
      <c r="HRP37" s="47"/>
      <c r="HRQ37" s="47"/>
      <c r="HRR37" s="47"/>
      <c r="HRS37" s="47"/>
      <c r="HRT37" s="47"/>
      <c r="HRU37" s="47"/>
      <c r="HRV37" s="47"/>
      <c r="HRW37" s="47"/>
      <c r="HRX37" s="47"/>
      <c r="HRY37" s="47"/>
      <c r="HRZ37" s="47"/>
      <c r="HSA37" s="47"/>
      <c r="HSB37" s="47"/>
      <c r="HSC37" s="47"/>
      <c r="HSD37" s="47"/>
      <c r="HSE37" s="47"/>
      <c r="HSF37" s="47"/>
      <c r="HSG37" s="47"/>
      <c r="HSH37" s="47"/>
      <c r="HSI37" s="47"/>
      <c r="HSJ37" s="47"/>
      <c r="HSK37" s="47"/>
      <c r="HSL37" s="47"/>
      <c r="HSM37" s="47"/>
      <c r="HSN37" s="47"/>
      <c r="HSO37" s="47"/>
      <c r="HSP37" s="47"/>
      <c r="HSQ37" s="47"/>
      <c r="HSR37" s="47"/>
      <c r="HSS37" s="47"/>
      <c r="HST37" s="47"/>
      <c r="HSU37" s="47"/>
      <c r="HSV37" s="47"/>
      <c r="HSW37" s="47"/>
      <c r="HSX37" s="47"/>
      <c r="HSY37" s="47"/>
      <c r="HSZ37" s="47"/>
      <c r="HTA37" s="47"/>
      <c r="HTB37" s="47"/>
      <c r="HTC37" s="47"/>
      <c r="HTD37" s="47"/>
      <c r="HTE37" s="47"/>
      <c r="HTF37" s="47"/>
      <c r="HTG37" s="47"/>
      <c r="HTH37" s="47"/>
      <c r="HTI37" s="47"/>
      <c r="HTJ37" s="47"/>
      <c r="HTK37" s="47"/>
      <c r="HTL37" s="47"/>
      <c r="HTM37" s="47"/>
      <c r="HTN37" s="47"/>
      <c r="HTO37" s="47"/>
      <c r="HTP37" s="47"/>
      <c r="HTQ37" s="47"/>
      <c r="HTR37" s="47"/>
      <c r="HTS37" s="47"/>
      <c r="HTT37" s="47"/>
      <c r="HTU37" s="47"/>
      <c r="HTV37" s="47"/>
      <c r="HTW37" s="47"/>
      <c r="HTX37" s="47"/>
      <c r="HTY37" s="47"/>
      <c r="HTZ37" s="47"/>
      <c r="HUA37" s="47"/>
      <c r="HUB37" s="47"/>
      <c r="HUC37" s="47"/>
      <c r="HUD37" s="47"/>
      <c r="HUE37" s="47"/>
      <c r="HUF37" s="47"/>
      <c r="HUG37" s="47"/>
      <c r="HUH37" s="47"/>
      <c r="HUI37" s="47"/>
      <c r="HUJ37" s="47"/>
      <c r="HUK37" s="47"/>
      <c r="HUL37" s="47"/>
      <c r="HUM37" s="47"/>
      <c r="HUN37" s="47"/>
      <c r="HUO37" s="47"/>
      <c r="HUP37" s="47"/>
      <c r="HUQ37" s="47"/>
      <c r="HUR37" s="47"/>
      <c r="HUS37" s="47"/>
      <c r="HUT37" s="47"/>
      <c r="HUU37" s="47"/>
      <c r="HUV37" s="47"/>
      <c r="HUW37" s="47"/>
      <c r="HUX37" s="47"/>
      <c r="HUY37" s="47"/>
      <c r="HUZ37" s="47"/>
      <c r="HVA37" s="47"/>
      <c r="HVB37" s="47"/>
      <c r="HVC37" s="47"/>
      <c r="HVD37" s="47"/>
      <c r="HVE37" s="47"/>
      <c r="HVF37" s="47"/>
      <c r="HVG37" s="47"/>
      <c r="HVH37" s="47"/>
      <c r="HVI37" s="47"/>
      <c r="HVJ37" s="47"/>
      <c r="HVK37" s="47"/>
      <c r="HVL37" s="47"/>
      <c r="HVM37" s="47"/>
      <c r="HVN37" s="47"/>
      <c r="HVO37" s="47"/>
      <c r="HVP37" s="47"/>
      <c r="HVQ37" s="47"/>
      <c r="HVR37" s="47"/>
      <c r="HVS37" s="47"/>
      <c r="HVT37" s="47"/>
      <c r="HVU37" s="47"/>
      <c r="HVV37" s="47"/>
      <c r="HVW37" s="47"/>
      <c r="HVX37" s="47"/>
      <c r="HVY37" s="47"/>
      <c r="HVZ37" s="47"/>
      <c r="HWA37" s="47"/>
      <c r="HWB37" s="47"/>
      <c r="HWC37" s="47"/>
      <c r="HWD37" s="47"/>
      <c r="HWE37" s="47"/>
      <c r="HWF37" s="47"/>
      <c r="HWG37" s="47"/>
      <c r="HWH37" s="47"/>
      <c r="HWI37" s="47"/>
      <c r="HWJ37" s="47"/>
      <c r="HWK37" s="47"/>
      <c r="HWL37" s="47"/>
      <c r="HWM37" s="47"/>
      <c r="HWN37" s="47"/>
      <c r="HWO37" s="47"/>
      <c r="HWP37" s="47"/>
      <c r="HWQ37" s="47"/>
      <c r="HWR37" s="47"/>
      <c r="HWS37" s="47"/>
      <c r="HWT37" s="47"/>
      <c r="HWU37" s="47"/>
      <c r="HWV37" s="47"/>
      <c r="HWW37" s="47"/>
      <c r="HWX37" s="47"/>
      <c r="HWY37" s="47"/>
      <c r="HWZ37" s="47"/>
      <c r="HXA37" s="47"/>
      <c r="HXB37" s="47"/>
      <c r="HXC37" s="47"/>
      <c r="HXD37" s="47"/>
      <c r="HXE37" s="47"/>
      <c r="HXF37" s="47"/>
      <c r="HXG37" s="47"/>
      <c r="HXH37" s="47"/>
      <c r="HXI37" s="47"/>
      <c r="HXJ37" s="47"/>
      <c r="HXK37" s="47"/>
      <c r="HXL37" s="47"/>
      <c r="HXM37" s="47"/>
      <c r="HXN37" s="47"/>
      <c r="HXO37" s="47"/>
      <c r="HXP37" s="47"/>
      <c r="HXQ37" s="47"/>
      <c r="HXR37" s="47"/>
      <c r="HXS37" s="47"/>
      <c r="HXT37" s="47"/>
      <c r="HXU37" s="47"/>
      <c r="HXV37" s="47"/>
      <c r="HXW37" s="47"/>
      <c r="HXX37" s="47"/>
      <c r="HXY37" s="47"/>
      <c r="HXZ37" s="47"/>
      <c r="HYA37" s="47"/>
      <c r="HYB37" s="47"/>
      <c r="HYC37" s="47"/>
      <c r="HYD37" s="47"/>
      <c r="HYE37" s="47"/>
      <c r="HYF37" s="47"/>
      <c r="HYG37" s="47"/>
      <c r="HYH37" s="47"/>
      <c r="HYI37" s="47"/>
      <c r="HYJ37" s="47"/>
      <c r="HYK37" s="47"/>
      <c r="HYL37" s="47"/>
      <c r="HYM37" s="47"/>
      <c r="HYN37" s="47"/>
      <c r="HYO37" s="47"/>
      <c r="HYP37" s="47"/>
      <c r="HYQ37" s="47"/>
      <c r="HYR37" s="47"/>
      <c r="HYS37" s="47"/>
      <c r="HYT37" s="47"/>
      <c r="HYU37" s="47"/>
      <c r="HYV37" s="47"/>
      <c r="HYW37" s="47"/>
      <c r="HYX37" s="47"/>
      <c r="HYY37" s="47"/>
      <c r="HYZ37" s="47"/>
      <c r="HZA37" s="47"/>
      <c r="HZB37" s="47"/>
      <c r="HZC37" s="47"/>
      <c r="HZD37" s="47"/>
      <c r="HZE37" s="47"/>
      <c r="HZF37" s="47"/>
      <c r="HZG37" s="47"/>
      <c r="HZH37" s="47"/>
      <c r="HZI37" s="47"/>
      <c r="HZJ37" s="47"/>
      <c r="HZK37" s="47"/>
      <c r="HZL37" s="47"/>
      <c r="HZM37" s="47"/>
      <c r="HZN37" s="47"/>
      <c r="HZO37" s="47"/>
      <c r="HZP37" s="47"/>
      <c r="HZQ37" s="47"/>
      <c r="HZR37" s="47"/>
      <c r="HZS37" s="47"/>
      <c r="HZT37" s="47"/>
      <c r="HZU37" s="47"/>
      <c r="HZV37" s="47"/>
      <c r="HZW37" s="47"/>
      <c r="HZX37" s="47"/>
      <c r="HZY37" s="47"/>
      <c r="HZZ37" s="47"/>
      <c r="IAA37" s="47"/>
      <c r="IAB37" s="47"/>
      <c r="IAC37" s="47"/>
      <c r="IAD37" s="47"/>
      <c r="IAE37" s="47"/>
      <c r="IAF37" s="47"/>
      <c r="IAG37" s="47"/>
      <c r="IAH37" s="47"/>
      <c r="IAI37" s="47"/>
      <c r="IAJ37" s="47"/>
      <c r="IAK37" s="47"/>
      <c r="IAL37" s="47"/>
      <c r="IAM37" s="47"/>
      <c r="IAN37" s="47"/>
      <c r="IAO37" s="47"/>
      <c r="IAP37" s="47"/>
      <c r="IAQ37" s="47"/>
      <c r="IAR37" s="47"/>
      <c r="IAS37" s="47"/>
      <c r="IAT37" s="47"/>
      <c r="IAU37" s="47"/>
      <c r="IAV37" s="47"/>
      <c r="IAW37" s="47"/>
      <c r="IAX37" s="47"/>
      <c r="IAY37" s="47"/>
      <c r="IAZ37" s="47"/>
      <c r="IBA37" s="47"/>
      <c r="IBB37" s="47"/>
      <c r="IBC37" s="47"/>
      <c r="IBD37" s="47"/>
      <c r="IBE37" s="47"/>
      <c r="IBF37" s="47"/>
      <c r="IBG37" s="47"/>
      <c r="IBH37" s="47"/>
      <c r="IBI37" s="47"/>
      <c r="IBJ37" s="47"/>
      <c r="IBK37" s="47"/>
      <c r="IBL37" s="47"/>
      <c r="IBM37" s="47"/>
      <c r="IBN37" s="47"/>
      <c r="IBO37" s="47"/>
      <c r="IBP37" s="47"/>
      <c r="IBQ37" s="47"/>
      <c r="IBR37" s="47"/>
      <c r="IBS37" s="47"/>
      <c r="IBT37" s="47"/>
      <c r="IBU37" s="47"/>
      <c r="IBV37" s="47"/>
      <c r="IBW37" s="47"/>
      <c r="IBX37" s="47"/>
      <c r="IBY37" s="47"/>
      <c r="IBZ37" s="47"/>
      <c r="ICA37" s="47"/>
      <c r="ICB37" s="47"/>
      <c r="ICC37" s="47"/>
      <c r="ICD37" s="47"/>
      <c r="ICE37" s="47"/>
      <c r="ICF37" s="47"/>
      <c r="ICG37" s="47"/>
      <c r="ICH37" s="47"/>
      <c r="ICI37" s="47"/>
      <c r="ICJ37" s="47"/>
      <c r="ICK37" s="47"/>
      <c r="ICL37" s="47"/>
      <c r="ICM37" s="47"/>
      <c r="ICN37" s="47"/>
      <c r="ICO37" s="47"/>
      <c r="ICP37" s="47"/>
      <c r="ICQ37" s="47"/>
      <c r="ICR37" s="47"/>
      <c r="ICS37" s="47"/>
      <c r="ICT37" s="47"/>
      <c r="ICU37" s="47"/>
      <c r="ICV37" s="47"/>
      <c r="ICW37" s="47"/>
      <c r="ICX37" s="47"/>
      <c r="ICY37" s="47"/>
      <c r="ICZ37" s="47"/>
      <c r="IDA37" s="47"/>
      <c r="IDB37" s="47"/>
      <c r="IDC37" s="47"/>
      <c r="IDD37" s="47"/>
      <c r="IDE37" s="47"/>
      <c r="IDF37" s="47"/>
      <c r="IDG37" s="47"/>
      <c r="IDH37" s="47"/>
      <c r="IDI37" s="47"/>
      <c r="IDJ37" s="47"/>
      <c r="IDK37" s="47"/>
      <c r="IDL37" s="47"/>
      <c r="IDM37" s="47"/>
      <c r="IDN37" s="47"/>
      <c r="IDO37" s="47"/>
      <c r="IDP37" s="47"/>
      <c r="IDQ37" s="47"/>
      <c r="IDR37" s="47"/>
      <c r="IDS37" s="47"/>
      <c r="IDT37" s="47"/>
      <c r="IDU37" s="47"/>
      <c r="IDV37" s="47"/>
      <c r="IDW37" s="47"/>
      <c r="IDX37" s="47"/>
      <c r="IDY37" s="47"/>
      <c r="IDZ37" s="47"/>
      <c r="IEA37" s="47"/>
      <c r="IEB37" s="47"/>
      <c r="IEC37" s="47"/>
      <c r="IED37" s="47"/>
      <c r="IEE37" s="47"/>
      <c r="IEF37" s="47"/>
      <c r="IEG37" s="47"/>
      <c r="IEH37" s="47"/>
      <c r="IEI37" s="47"/>
      <c r="IEJ37" s="47"/>
      <c r="IEK37" s="47"/>
      <c r="IEL37" s="47"/>
      <c r="IEM37" s="47"/>
      <c r="IEN37" s="47"/>
      <c r="IEO37" s="47"/>
      <c r="IEP37" s="47"/>
      <c r="IEQ37" s="47"/>
      <c r="IER37" s="47"/>
      <c r="IES37" s="47"/>
      <c r="IET37" s="47"/>
      <c r="IEU37" s="47"/>
      <c r="IEV37" s="47"/>
      <c r="IEW37" s="47"/>
      <c r="IEX37" s="47"/>
      <c r="IEY37" s="47"/>
      <c r="IEZ37" s="47"/>
      <c r="IFA37" s="47"/>
      <c r="IFB37" s="47"/>
      <c r="IFC37" s="47"/>
      <c r="IFD37" s="47"/>
      <c r="IFE37" s="47"/>
      <c r="IFF37" s="47"/>
      <c r="IFG37" s="47"/>
      <c r="IFH37" s="47"/>
      <c r="IFI37" s="47"/>
      <c r="IFJ37" s="47"/>
      <c r="IFK37" s="47"/>
      <c r="IFL37" s="47"/>
      <c r="IFM37" s="47"/>
      <c r="IFN37" s="47"/>
      <c r="IFO37" s="47"/>
      <c r="IFP37" s="47"/>
      <c r="IFQ37" s="47"/>
      <c r="IFR37" s="47"/>
      <c r="IFS37" s="47"/>
      <c r="IFT37" s="47"/>
      <c r="IFU37" s="47"/>
      <c r="IFV37" s="47"/>
      <c r="IFW37" s="47"/>
      <c r="IFX37" s="47"/>
      <c r="IFY37" s="47"/>
      <c r="IFZ37" s="47"/>
      <c r="IGA37" s="47"/>
      <c r="IGB37" s="47"/>
      <c r="IGC37" s="47"/>
      <c r="IGD37" s="47"/>
      <c r="IGE37" s="47"/>
      <c r="IGF37" s="47"/>
      <c r="IGG37" s="47"/>
      <c r="IGH37" s="47"/>
      <c r="IGI37" s="47"/>
      <c r="IGJ37" s="47"/>
      <c r="IGK37" s="47"/>
      <c r="IGL37" s="47"/>
      <c r="IGM37" s="47"/>
      <c r="IGN37" s="47"/>
      <c r="IGO37" s="47"/>
      <c r="IGP37" s="47"/>
      <c r="IGQ37" s="47"/>
      <c r="IGR37" s="47"/>
      <c r="IGS37" s="47"/>
      <c r="IGT37" s="47"/>
      <c r="IGU37" s="47"/>
      <c r="IGV37" s="47"/>
      <c r="IGW37" s="47"/>
      <c r="IGX37" s="47"/>
      <c r="IGY37" s="47"/>
      <c r="IGZ37" s="47"/>
      <c r="IHA37" s="47"/>
      <c r="IHB37" s="47"/>
      <c r="IHC37" s="47"/>
      <c r="IHD37" s="47"/>
      <c r="IHE37" s="47"/>
      <c r="IHF37" s="47"/>
      <c r="IHG37" s="47"/>
      <c r="IHH37" s="47"/>
      <c r="IHI37" s="47"/>
      <c r="IHJ37" s="47"/>
      <c r="IHK37" s="47"/>
      <c r="IHL37" s="47"/>
      <c r="IHM37" s="47"/>
      <c r="IHN37" s="47"/>
      <c r="IHO37" s="47"/>
      <c r="IHP37" s="47"/>
      <c r="IHQ37" s="47"/>
      <c r="IHR37" s="47"/>
      <c r="IHS37" s="47"/>
      <c r="IHT37" s="47"/>
      <c r="IHU37" s="47"/>
      <c r="IHV37" s="47"/>
      <c r="IHW37" s="47"/>
      <c r="IHX37" s="47"/>
      <c r="IHY37" s="47"/>
      <c r="IHZ37" s="47"/>
      <c r="IIA37" s="47"/>
      <c r="IIB37" s="47"/>
      <c r="IIC37" s="47"/>
      <c r="IID37" s="47"/>
      <c r="IIE37" s="47"/>
      <c r="IIF37" s="47"/>
      <c r="IIG37" s="47"/>
      <c r="IIH37" s="47"/>
      <c r="III37" s="47"/>
      <c r="IIJ37" s="47"/>
      <c r="IIK37" s="47"/>
      <c r="IIL37" s="47"/>
      <c r="IIM37" s="47"/>
      <c r="IIN37" s="47"/>
      <c r="IIO37" s="47"/>
      <c r="IIP37" s="47"/>
      <c r="IIQ37" s="47"/>
      <c r="IIR37" s="47"/>
      <c r="IIS37" s="47"/>
      <c r="IIT37" s="47"/>
      <c r="IIU37" s="47"/>
      <c r="IIV37" s="47"/>
      <c r="IIW37" s="47"/>
      <c r="IIX37" s="47"/>
      <c r="IIY37" s="47"/>
      <c r="IIZ37" s="47"/>
      <c r="IJA37" s="47"/>
      <c r="IJB37" s="47"/>
      <c r="IJC37" s="47"/>
      <c r="IJD37" s="47"/>
      <c r="IJE37" s="47"/>
      <c r="IJF37" s="47"/>
      <c r="IJG37" s="47"/>
      <c r="IJH37" s="47"/>
      <c r="IJI37" s="47"/>
      <c r="IJJ37" s="47"/>
      <c r="IJK37" s="47"/>
      <c r="IJL37" s="47"/>
      <c r="IJM37" s="47"/>
      <c r="IJN37" s="47"/>
      <c r="IJO37" s="47"/>
      <c r="IJP37" s="47"/>
      <c r="IJQ37" s="47"/>
      <c r="IJR37" s="47"/>
      <c r="IJS37" s="47"/>
      <c r="IJT37" s="47"/>
      <c r="IJU37" s="47"/>
      <c r="IJV37" s="47"/>
      <c r="IJW37" s="47"/>
      <c r="IJX37" s="47"/>
      <c r="IJY37" s="47"/>
      <c r="IJZ37" s="47"/>
      <c r="IKA37" s="47"/>
      <c r="IKB37" s="47"/>
      <c r="IKC37" s="47"/>
      <c r="IKD37" s="47"/>
      <c r="IKE37" s="47"/>
      <c r="IKF37" s="47"/>
      <c r="IKG37" s="47"/>
      <c r="IKH37" s="47"/>
      <c r="IKI37" s="47"/>
      <c r="IKJ37" s="47"/>
      <c r="IKK37" s="47"/>
      <c r="IKL37" s="47"/>
      <c r="IKM37" s="47"/>
      <c r="IKN37" s="47"/>
      <c r="IKO37" s="47"/>
      <c r="IKP37" s="47"/>
      <c r="IKQ37" s="47"/>
      <c r="IKR37" s="47"/>
      <c r="IKS37" s="47"/>
      <c r="IKT37" s="47"/>
      <c r="IKU37" s="47"/>
      <c r="IKV37" s="47"/>
      <c r="IKW37" s="47"/>
      <c r="IKX37" s="47"/>
      <c r="IKY37" s="47"/>
      <c r="IKZ37" s="47"/>
      <c r="ILA37" s="47"/>
      <c r="ILB37" s="47"/>
      <c r="ILC37" s="47"/>
      <c r="ILD37" s="47"/>
      <c r="ILE37" s="47"/>
      <c r="ILF37" s="47"/>
      <c r="ILG37" s="47"/>
      <c r="ILH37" s="47"/>
      <c r="ILI37" s="47"/>
      <c r="ILJ37" s="47"/>
      <c r="ILK37" s="47"/>
      <c r="ILL37" s="47"/>
      <c r="ILM37" s="47"/>
      <c r="ILN37" s="47"/>
      <c r="ILO37" s="47"/>
      <c r="ILP37" s="47"/>
      <c r="ILQ37" s="47"/>
      <c r="ILR37" s="47"/>
      <c r="ILS37" s="47"/>
      <c r="ILT37" s="47"/>
      <c r="ILU37" s="47"/>
      <c r="ILV37" s="47"/>
      <c r="ILW37" s="47"/>
      <c r="ILX37" s="47"/>
      <c r="ILY37" s="47"/>
      <c r="ILZ37" s="47"/>
      <c r="IMA37" s="47"/>
      <c r="IMB37" s="47"/>
      <c r="IMC37" s="47"/>
      <c r="IMD37" s="47"/>
      <c r="IME37" s="47"/>
      <c r="IMF37" s="47"/>
      <c r="IMG37" s="47"/>
      <c r="IMH37" s="47"/>
      <c r="IMI37" s="47"/>
      <c r="IMJ37" s="47"/>
      <c r="IMK37" s="47"/>
      <c r="IML37" s="47"/>
      <c r="IMM37" s="47"/>
      <c r="IMN37" s="47"/>
      <c r="IMO37" s="47"/>
      <c r="IMP37" s="47"/>
      <c r="IMQ37" s="47"/>
      <c r="IMR37" s="47"/>
      <c r="IMS37" s="47"/>
      <c r="IMT37" s="47"/>
      <c r="IMU37" s="47"/>
      <c r="IMV37" s="47"/>
      <c r="IMW37" s="47"/>
      <c r="IMX37" s="47"/>
      <c r="IMY37" s="47"/>
      <c r="IMZ37" s="47"/>
      <c r="INA37" s="47"/>
      <c r="INB37" s="47"/>
      <c r="INC37" s="47"/>
      <c r="IND37" s="47"/>
      <c r="INE37" s="47"/>
      <c r="INF37" s="47"/>
      <c r="ING37" s="47"/>
      <c r="INH37" s="47"/>
      <c r="INI37" s="47"/>
      <c r="INJ37" s="47"/>
      <c r="INK37" s="47"/>
      <c r="INL37" s="47"/>
      <c r="INM37" s="47"/>
      <c r="INN37" s="47"/>
      <c r="INO37" s="47"/>
      <c r="INP37" s="47"/>
      <c r="INQ37" s="47"/>
      <c r="INR37" s="47"/>
      <c r="INS37" s="47"/>
      <c r="INT37" s="47"/>
      <c r="INU37" s="47"/>
      <c r="INV37" s="47"/>
      <c r="INW37" s="47"/>
      <c r="INX37" s="47"/>
      <c r="INY37" s="47"/>
      <c r="INZ37" s="47"/>
      <c r="IOA37" s="47"/>
      <c r="IOB37" s="47"/>
      <c r="IOC37" s="47"/>
      <c r="IOD37" s="47"/>
      <c r="IOE37" s="47"/>
      <c r="IOF37" s="47"/>
      <c r="IOG37" s="47"/>
      <c r="IOH37" s="47"/>
      <c r="IOI37" s="47"/>
      <c r="IOJ37" s="47"/>
      <c r="IOK37" s="47"/>
      <c r="IOL37" s="47"/>
      <c r="IOM37" s="47"/>
      <c r="ION37" s="47"/>
      <c r="IOO37" s="47"/>
      <c r="IOP37" s="47"/>
      <c r="IOQ37" s="47"/>
      <c r="IOR37" s="47"/>
      <c r="IOS37" s="47"/>
      <c r="IOT37" s="47"/>
      <c r="IOU37" s="47"/>
      <c r="IOV37" s="47"/>
      <c r="IOW37" s="47"/>
      <c r="IOX37" s="47"/>
      <c r="IOY37" s="47"/>
      <c r="IOZ37" s="47"/>
      <c r="IPA37" s="47"/>
      <c r="IPB37" s="47"/>
      <c r="IPC37" s="47"/>
      <c r="IPD37" s="47"/>
      <c r="IPE37" s="47"/>
      <c r="IPF37" s="47"/>
      <c r="IPG37" s="47"/>
      <c r="IPH37" s="47"/>
      <c r="IPI37" s="47"/>
      <c r="IPJ37" s="47"/>
      <c r="IPK37" s="47"/>
      <c r="IPL37" s="47"/>
      <c r="IPM37" s="47"/>
      <c r="IPN37" s="47"/>
      <c r="IPO37" s="47"/>
      <c r="IPP37" s="47"/>
      <c r="IPQ37" s="47"/>
      <c r="IPR37" s="47"/>
      <c r="IPS37" s="47"/>
      <c r="IPT37" s="47"/>
      <c r="IPU37" s="47"/>
      <c r="IPV37" s="47"/>
      <c r="IPW37" s="47"/>
      <c r="IPX37" s="47"/>
      <c r="IPY37" s="47"/>
      <c r="IPZ37" s="47"/>
      <c r="IQA37" s="47"/>
      <c r="IQB37" s="47"/>
      <c r="IQC37" s="47"/>
      <c r="IQD37" s="47"/>
      <c r="IQE37" s="47"/>
      <c r="IQF37" s="47"/>
      <c r="IQG37" s="47"/>
      <c r="IQH37" s="47"/>
      <c r="IQI37" s="47"/>
      <c r="IQJ37" s="47"/>
      <c r="IQK37" s="47"/>
      <c r="IQL37" s="47"/>
      <c r="IQM37" s="47"/>
      <c r="IQN37" s="47"/>
      <c r="IQO37" s="47"/>
      <c r="IQP37" s="47"/>
      <c r="IQQ37" s="47"/>
      <c r="IQR37" s="47"/>
      <c r="IQS37" s="47"/>
      <c r="IQT37" s="47"/>
      <c r="IQU37" s="47"/>
      <c r="IQV37" s="47"/>
      <c r="IQW37" s="47"/>
      <c r="IQX37" s="47"/>
      <c r="IQY37" s="47"/>
      <c r="IQZ37" s="47"/>
      <c r="IRA37" s="47"/>
      <c r="IRB37" s="47"/>
      <c r="IRC37" s="47"/>
      <c r="IRD37" s="47"/>
      <c r="IRE37" s="47"/>
      <c r="IRF37" s="47"/>
      <c r="IRG37" s="47"/>
      <c r="IRH37" s="47"/>
      <c r="IRI37" s="47"/>
      <c r="IRJ37" s="47"/>
      <c r="IRK37" s="47"/>
      <c r="IRL37" s="47"/>
      <c r="IRM37" s="47"/>
      <c r="IRN37" s="47"/>
      <c r="IRO37" s="47"/>
      <c r="IRP37" s="47"/>
      <c r="IRQ37" s="47"/>
      <c r="IRR37" s="47"/>
      <c r="IRS37" s="47"/>
      <c r="IRT37" s="47"/>
      <c r="IRU37" s="47"/>
      <c r="IRV37" s="47"/>
      <c r="IRW37" s="47"/>
      <c r="IRX37" s="47"/>
      <c r="IRY37" s="47"/>
      <c r="IRZ37" s="47"/>
      <c r="ISA37" s="47"/>
      <c r="ISB37" s="47"/>
      <c r="ISC37" s="47"/>
      <c r="ISD37" s="47"/>
      <c r="ISE37" s="47"/>
      <c r="ISF37" s="47"/>
      <c r="ISG37" s="47"/>
      <c r="ISH37" s="47"/>
      <c r="ISI37" s="47"/>
      <c r="ISJ37" s="47"/>
      <c r="ISK37" s="47"/>
      <c r="ISL37" s="47"/>
      <c r="ISM37" s="47"/>
      <c r="ISN37" s="47"/>
      <c r="ISO37" s="47"/>
      <c r="ISP37" s="47"/>
      <c r="ISQ37" s="47"/>
      <c r="ISR37" s="47"/>
      <c r="ISS37" s="47"/>
      <c r="IST37" s="47"/>
      <c r="ISU37" s="47"/>
      <c r="ISV37" s="47"/>
      <c r="ISW37" s="47"/>
      <c r="ISX37" s="47"/>
      <c r="ISY37" s="47"/>
      <c r="ISZ37" s="47"/>
      <c r="ITA37" s="47"/>
      <c r="ITB37" s="47"/>
      <c r="ITC37" s="47"/>
      <c r="ITD37" s="47"/>
      <c r="ITE37" s="47"/>
      <c r="ITF37" s="47"/>
      <c r="ITG37" s="47"/>
      <c r="ITH37" s="47"/>
      <c r="ITI37" s="47"/>
      <c r="ITJ37" s="47"/>
      <c r="ITK37" s="47"/>
      <c r="ITL37" s="47"/>
      <c r="ITM37" s="47"/>
      <c r="ITN37" s="47"/>
      <c r="ITO37" s="47"/>
      <c r="ITP37" s="47"/>
      <c r="ITQ37" s="47"/>
      <c r="ITR37" s="47"/>
      <c r="ITS37" s="47"/>
      <c r="ITT37" s="47"/>
      <c r="ITU37" s="47"/>
      <c r="ITV37" s="47"/>
      <c r="ITW37" s="47"/>
      <c r="ITX37" s="47"/>
      <c r="ITY37" s="47"/>
      <c r="ITZ37" s="47"/>
      <c r="IUA37" s="47"/>
      <c r="IUB37" s="47"/>
      <c r="IUC37" s="47"/>
      <c r="IUD37" s="47"/>
      <c r="IUE37" s="47"/>
      <c r="IUF37" s="47"/>
      <c r="IUG37" s="47"/>
      <c r="IUH37" s="47"/>
      <c r="IUI37" s="47"/>
      <c r="IUJ37" s="47"/>
      <c r="IUK37" s="47"/>
      <c r="IUL37" s="47"/>
      <c r="IUM37" s="47"/>
      <c r="IUN37" s="47"/>
      <c r="IUO37" s="47"/>
      <c r="IUP37" s="47"/>
      <c r="IUQ37" s="47"/>
      <c r="IUR37" s="47"/>
      <c r="IUS37" s="47"/>
      <c r="IUT37" s="47"/>
      <c r="IUU37" s="47"/>
      <c r="IUV37" s="47"/>
      <c r="IUW37" s="47"/>
      <c r="IUX37" s="47"/>
      <c r="IUY37" s="47"/>
      <c r="IUZ37" s="47"/>
      <c r="IVA37" s="47"/>
      <c r="IVB37" s="47"/>
      <c r="IVC37" s="47"/>
      <c r="IVD37" s="47"/>
      <c r="IVE37" s="47"/>
      <c r="IVF37" s="47"/>
      <c r="IVG37" s="47"/>
      <c r="IVH37" s="47"/>
      <c r="IVI37" s="47"/>
      <c r="IVJ37" s="47"/>
      <c r="IVK37" s="47"/>
      <c r="IVL37" s="47"/>
      <c r="IVM37" s="47"/>
      <c r="IVN37" s="47"/>
      <c r="IVO37" s="47"/>
      <c r="IVP37" s="47"/>
      <c r="IVQ37" s="47"/>
      <c r="IVR37" s="47"/>
      <c r="IVS37" s="47"/>
      <c r="IVT37" s="47"/>
      <c r="IVU37" s="47"/>
      <c r="IVV37" s="47"/>
      <c r="IVW37" s="47"/>
      <c r="IVX37" s="47"/>
      <c r="IVY37" s="47"/>
      <c r="IVZ37" s="47"/>
      <c r="IWA37" s="47"/>
      <c r="IWB37" s="47"/>
      <c r="IWC37" s="47"/>
      <c r="IWD37" s="47"/>
      <c r="IWE37" s="47"/>
      <c r="IWF37" s="47"/>
      <c r="IWG37" s="47"/>
      <c r="IWH37" s="47"/>
      <c r="IWI37" s="47"/>
      <c r="IWJ37" s="47"/>
      <c r="IWK37" s="47"/>
      <c r="IWL37" s="47"/>
      <c r="IWM37" s="47"/>
      <c r="IWN37" s="47"/>
      <c r="IWO37" s="47"/>
      <c r="IWP37" s="47"/>
      <c r="IWQ37" s="47"/>
      <c r="IWR37" s="47"/>
      <c r="IWS37" s="47"/>
      <c r="IWT37" s="47"/>
      <c r="IWU37" s="47"/>
      <c r="IWV37" s="47"/>
      <c r="IWW37" s="47"/>
      <c r="IWX37" s="47"/>
      <c r="IWY37" s="47"/>
      <c r="IWZ37" s="47"/>
      <c r="IXA37" s="47"/>
      <c r="IXB37" s="47"/>
      <c r="IXC37" s="47"/>
      <c r="IXD37" s="47"/>
      <c r="IXE37" s="47"/>
      <c r="IXF37" s="47"/>
      <c r="IXG37" s="47"/>
      <c r="IXH37" s="47"/>
      <c r="IXI37" s="47"/>
      <c r="IXJ37" s="47"/>
      <c r="IXK37" s="47"/>
      <c r="IXL37" s="47"/>
      <c r="IXM37" s="47"/>
      <c r="IXN37" s="47"/>
      <c r="IXO37" s="47"/>
      <c r="IXP37" s="47"/>
      <c r="IXQ37" s="47"/>
      <c r="IXR37" s="47"/>
      <c r="IXS37" s="47"/>
      <c r="IXT37" s="47"/>
      <c r="IXU37" s="47"/>
      <c r="IXV37" s="47"/>
      <c r="IXW37" s="47"/>
      <c r="IXX37" s="47"/>
      <c r="IXY37" s="47"/>
      <c r="IXZ37" s="47"/>
      <c r="IYA37" s="47"/>
      <c r="IYB37" s="47"/>
      <c r="IYC37" s="47"/>
      <c r="IYD37" s="47"/>
      <c r="IYE37" s="47"/>
      <c r="IYF37" s="47"/>
      <c r="IYG37" s="47"/>
      <c r="IYH37" s="47"/>
      <c r="IYI37" s="47"/>
      <c r="IYJ37" s="47"/>
      <c r="IYK37" s="47"/>
      <c r="IYL37" s="47"/>
      <c r="IYM37" s="47"/>
      <c r="IYN37" s="47"/>
      <c r="IYO37" s="47"/>
      <c r="IYP37" s="47"/>
      <c r="IYQ37" s="47"/>
      <c r="IYR37" s="47"/>
      <c r="IYS37" s="47"/>
      <c r="IYT37" s="47"/>
      <c r="IYU37" s="47"/>
      <c r="IYV37" s="47"/>
      <c r="IYW37" s="47"/>
      <c r="IYX37" s="47"/>
      <c r="IYY37" s="47"/>
      <c r="IYZ37" s="47"/>
      <c r="IZA37" s="47"/>
      <c r="IZB37" s="47"/>
      <c r="IZC37" s="47"/>
      <c r="IZD37" s="47"/>
      <c r="IZE37" s="47"/>
      <c r="IZF37" s="47"/>
      <c r="IZG37" s="47"/>
      <c r="IZH37" s="47"/>
      <c r="IZI37" s="47"/>
      <c r="IZJ37" s="47"/>
      <c r="IZK37" s="47"/>
      <c r="IZL37" s="47"/>
      <c r="IZM37" s="47"/>
      <c r="IZN37" s="47"/>
      <c r="IZO37" s="47"/>
      <c r="IZP37" s="47"/>
      <c r="IZQ37" s="47"/>
      <c r="IZR37" s="47"/>
      <c r="IZS37" s="47"/>
      <c r="IZT37" s="47"/>
      <c r="IZU37" s="47"/>
      <c r="IZV37" s="47"/>
      <c r="IZW37" s="47"/>
      <c r="IZX37" s="47"/>
      <c r="IZY37" s="47"/>
      <c r="IZZ37" s="47"/>
      <c r="JAA37" s="47"/>
      <c r="JAB37" s="47"/>
      <c r="JAC37" s="47"/>
      <c r="JAD37" s="47"/>
      <c r="JAE37" s="47"/>
      <c r="JAF37" s="47"/>
      <c r="JAG37" s="47"/>
      <c r="JAH37" s="47"/>
      <c r="JAI37" s="47"/>
      <c r="JAJ37" s="47"/>
      <c r="JAK37" s="47"/>
      <c r="JAL37" s="47"/>
      <c r="JAM37" s="47"/>
      <c r="JAN37" s="47"/>
      <c r="JAO37" s="47"/>
      <c r="JAP37" s="47"/>
      <c r="JAQ37" s="47"/>
      <c r="JAR37" s="47"/>
      <c r="JAS37" s="47"/>
      <c r="JAT37" s="47"/>
      <c r="JAU37" s="47"/>
      <c r="JAV37" s="47"/>
      <c r="JAW37" s="47"/>
      <c r="JAX37" s="47"/>
      <c r="JAY37" s="47"/>
      <c r="JAZ37" s="47"/>
      <c r="JBA37" s="47"/>
      <c r="JBB37" s="47"/>
      <c r="JBC37" s="47"/>
      <c r="JBD37" s="47"/>
      <c r="JBE37" s="47"/>
      <c r="JBF37" s="47"/>
      <c r="JBG37" s="47"/>
      <c r="JBH37" s="47"/>
      <c r="JBI37" s="47"/>
      <c r="JBJ37" s="47"/>
      <c r="JBK37" s="47"/>
      <c r="JBL37" s="47"/>
      <c r="JBM37" s="47"/>
      <c r="JBN37" s="47"/>
      <c r="JBO37" s="47"/>
      <c r="JBP37" s="47"/>
      <c r="JBQ37" s="47"/>
      <c r="JBR37" s="47"/>
      <c r="JBS37" s="47"/>
      <c r="JBT37" s="47"/>
      <c r="JBU37" s="47"/>
      <c r="JBV37" s="47"/>
      <c r="JBW37" s="47"/>
      <c r="JBX37" s="47"/>
      <c r="JBY37" s="47"/>
      <c r="JBZ37" s="47"/>
      <c r="JCA37" s="47"/>
      <c r="JCB37" s="47"/>
      <c r="JCC37" s="47"/>
      <c r="JCD37" s="47"/>
      <c r="JCE37" s="47"/>
      <c r="JCF37" s="47"/>
      <c r="JCG37" s="47"/>
      <c r="JCH37" s="47"/>
      <c r="JCI37" s="47"/>
      <c r="JCJ37" s="47"/>
      <c r="JCK37" s="47"/>
      <c r="JCL37" s="47"/>
      <c r="JCM37" s="47"/>
      <c r="JCN37" s="47"/>
      <c r="JCO37" s="47"/>
      <c r="JCP37" s="47"/>
      <c r="JCQ37" s="47"/>
      <c r="JCR37" s="47"/>
      <c r="JCS37" s="47"/>
      <c r="JCT37" s="47"/>
      <c r="JCU37" s="47"/>
      <c r="JCV37" s="47"/>
      <c r="JCW37" s="47"/>
      <c r="JCX37" s="47"/>
      <c r="JCY37" s="47"/>
      <c r="JCZ37" s="47"/>
      <c r="JDA37" s="47"/>
      <c r="JDB37" s="47"/>
      <c r="JDC37" s="47"/>
      <c r="JDD37" s="47"/>
      <c r="JDE37" s="47"/>
      <c r="JDF37" s="47"/>
      <c r="JDG37" s="47"/>
      <c r="JDH37" s="47"/>
      <c r="JDI37" s="47"/>
      <c r="JDJ37" s="47"/>
      <c r="JDK37" s="47"/>
      <c r="JDL37" s="47"/>
      <c r="JDM37" s="47"/>
      <c r="JDN37" s="47"/>
      <c r="JDO37" s="47"/>
      <c r="JDP37" s="47"/>
      <c r="JDQ37" s="47"/>
      <c r="JDR37" s="47"/>
      <c r="JDS37" s="47"/>
      <c r="JDT37" s="47"/>
      <c r="JDU37" s="47"/>
      <c r="JDV37" s="47"/>
      <c r="JDW37" s="47"/>
      <c r="JDX37" s="47"/>
      <c r="JDY37" s="47"/>
      <c r="JDZ37" s="47"/>
      <c r="JEA37" s="47"/>
      <c r="JEB37" s="47"/>
      <c r="JEC37" s="47"/>
      <c r="JED37" s="47"/>
      <c r="JEE37" s="47"/>
      <c r="JEF37" s="47"/>
      <c r="JEG37" s="47"/>
      <c r="JEH37" s="47"/>
      <c r="JEI37" s="47"/>
      <c r="JEJ37" s="47"/>
      <c r="JEK37" s="47"/>
      <c r="JEL37" s="47"/>
      <c r="JEM37" s="47"/>
      <c r="JEN37" s="47"/>
      <c r="JEO37" s="47"/>
      <c r="JEP37" s="47"/>
      <c r="JEQ37" s="47"/>
      <c r="JER37" s="47"/>
      <c r="JES37" s="47"/>
      <c r="JET37" s="47"/>
      <c r="JEU37" s="47"/>
      <c r="JEV37" s="47"/>
      <c r="JEW37" s="47"/>
      <c r="JEX37" s="47"/>
      <c r="JEY37" s="47"/>
      <c r="JEZ37" s="47"/>
      <c r="JFA37" s="47"/>
      <c r="JFB37" s="47"/>
      <c r="JFC37" s="47"/>
      <c r="JFD37" s="47"/>
      <c r="JFE37" s="47"/>
      <c r="JFF37" s="47"/>
      <c r="JFG37" s="47"/>
      <c r="JFH37" s="47"/>
      <c r="JFI37" s="47"/>
      <c r="JFJ37" s="47"/>
      <c r="JFK37" s="47"/>
      <c r="JFL37" s="47"/>
      <c r="JFM37" s="47"/>
      <c r="JFN37" s="47"/>
      <c r="JFO37" s="47"/>
      <c r="JFP37" s="47"/>
      <c r="JFQ37" s="47"/>
      <c r="JFR37" s="47"/>
      <c r="JFS37" s="47"/>
      <c r="JFT37" s="47"/>
      <c r="JFU37" s="47"/>
      <c r="JFV37" s="47"/>
      <c r="JFW37" s="47"/>
      <c r="JFX37" s="47"/>
      <c r="JFY37" s="47"/>
      <c r="JFZ37" s="47"/>
      <c r="JGA37" s="47"/>
      <c r="JGB37" s="47"/>
      <c r="JGC37" s="47"/>
      <c r="JGD37" s="47"/>
      <c r="JGE37" s="47"/>
      <c r="JGF37" s="47"/>
      <c r="JGG37" s="47"/>
      <c r="JGH37" s="47"/>
      <c r="JGI37" s="47"/>
      <c r="JGJ37" s="47"/>
      <c r="JGK37" s="47"/>
      <c r="JGL37" s="47"/>
      <c r="JGM37" s="47"/>
      <c r="JGN37" s="47"/>
      <c r="JGO37" s="47"/>
      <c r="JGP37" s="47"/>
      <c r="JGQ37" s="47"/>
      <c r="JGR37" s="47"/>
      <c r="JGS37" s="47"/>
      <c r="JGT37" s="47"/>
      <c r="JGU37" s="47"/>
      <c r="JGV37" s="47"/>
      <c r="JGW37" s="47"/>
      <c r="JGX37" s="47"/>
      <c r="JGY37" s="47"/>
      <c r="JGZ37" s="47"/>
      <c r="JHA37" s="47"/>
      <c r="JHB37" s="47"/>
      <c r="JHC37" s="47"/>
      <c r="JHD37" s="47"/>
      <c r="JHE37" s="47"/>
      <c r="JHF37" s="47"/>
      <c r="JHG37" s="47"/>
      <c r="JHH37" s="47"/>
      <c r="JHI37" s="47"/>
      <c r="JHJ37" s="47"/>
      <c r="JHK37" s="47"/>
      <c r="JHL37" s="47"/>
      <c r="JHM37" s="47"/>
      <c r="JHN37" s="47"/>
      <c r="JHO37" s="47"/>
      <c r="JHP37" s="47"/>
      <c r="JHQ37" s="47"/>
      <c r="JHR37" s="47"/>
      <c r="JHS37" s="47"/>
      <c r="JHT37" s="47"/>
      <c r="JHU37" s="47"/>
      <c r="JHV37" s="47"/>
      <c r="JHW37" s="47"/>
      <c r="JHX37" s="47"/>
      <c r="JHY37" s="47"/>
      <c r="JHZ37" s="47"/>
      <c r="JIA37" s="47"/>
      <c r="JIB37" s="47"/>
      <c r="JIC37" s="47"/>
      <c r="JID37" s="47"/>
      <c r="JIE37" s="47"/>
      <c r="JIF37" s="47"/>
      <c r="JIG37" s="47"/>
      <c r="JIH37" s="47"/>
      <c r="JII37" s="47"/>
      <c r="JIJ37" s="47"/>
      <c r="JIK37" s="47"/>
      <c r="JIL37" s="47"/>
      <c r="JIM37" s="47"/>
      <c r="JIN37" s="47"/>
      <c r="JIO37" s="47"/>
      <c r="JIP37" s="47"/>
      <c r="JIQ37" s="47"/>
      <c r="JIR37" s="47"/>
      <c r="JIS37" s="47"/>
      <c r="JIT37" s="47"/>
      <c r="JIU37" s="47"/>
      <c r="JIV37" s="47"/>
      <c r="JIW37" s="47"/>
      <c r="JIX37" s="47"/>
      <c r="JIY37" s="47"/>
      <c r="JIZ37" s="47"/>
      <c r="JJA37" s="47"/>
      <c r="JJB37" s="47"/>
      <c r="JJC37" s="47"/>
      <c r="JJD37" s="47"/>
      <c r="JJE37" s="47"/>
      <c r="JJF37" s="47"/>
      <c r="JJG37" s="47"/>
      <c r="JJH37" s="47"/>
      <c r="JJI37" s="47"/>
      <c r="JJJ37" s="47"/>
      <c r="JJK37" s="47"/>
      <c r="JJL37" s="47"/>
      <c r="JJM37" s="47"/>
      <c r="JJN37" s="47"/>
      <c r="JJO37" s="47"/>
      <c r="JJP37" s="47"/>
      <c r="JJQ37" s="47"/>
      <c r="JJR37" s="47"/>
      <c r="JJS37" s="47"/>
      <c r="JJT37" s="47"/>
      <c r="JJU37" s="47"/>
      <c r="JJV37" s="47"/>
      <c r="JJW37" s="47"/>
      <c r="JJX37" s="47"/>
      <c r="JJY37" s="47"/>
      <c r="JJZ37" s="47"/>
      <c r="JKA37" s="47"/>
      <c r="JKB37" s="47"/>
      <c r="JKC37" s="47"/>
      <c r="JKD37" s="47"/>
      <c r="JKE37" s="47"/>
      <c r="JKF37" s="47"/>
      <c r="JKG37" s="47"/>
      <c r="JKH37" s="47"/>
      <c r="JKI37" s="47"/>
      <c r="JKJ37" s="47"/>
      <c r="JKK37" s="47"/>
      <c r="JKL37" s="47"/>
      <c r="JKM37" s="47"/>
      <c r="JKN37" s="47"/>
      <c r="JKO37" s="47"/>
      <c r="JKP37" s="47"/>
      <c r="JKQ37" s="47"/>
      <c r="JKR37" s="47"/>
      <c r="JKS37" s="47"/>
      <c r="JKT37" s="47"/>
      <c r="JKU37" s="47"/>
      <c r="JKV37" s="47"/>
      <c r="JKW37" s="47"/>
      <c r="JKX37" s="47"/>
      <c r="JKY37" s="47"/>
      <c r="JKZ37" s="47"/>
      <c r="JLA37" s="47"/>
      <c r="JLB37" s="47"/>
      <c r="JLC37" s="47"/>
      <c r="JLD37" s="47"/>
      <c r="JLE37" s="47"/>
      <c r="JLF37" s="47"/>
      <c r="JLG37" s="47"/>
      <c r="JLH37" s="47"/>
      <c r="JLI37" s="47"/>
      <c r="JLJ37" s="47"/>
      <c r="JLK37" s="47"/>
      <c r="JLL37" s="47"/>
      <c r="JLM37" s="47"/>
      <c r="JLN37" s="47"/>
      <c r="JLO37" s="47"/>
      <c r="JLP37" s="47"/>
      <c r="JLQ37" s="47"/>
      <c r="JLR37" s="47"/>
      <c r="JLS37" s="47"/>
      <c r="JLT37" s="47"/>
      <c r="JLU37" s="47"/>
      <c r="JLV37" s="47"/>
      <c r="JLW37" s="47"/>
      <c r="JLX37" s="47"/>
      <c r="JLY37" s="47"/>
      <c r="JLZ37" s="47"/>
      <c r="JMA37" s="47"/>
      <c r="JMB37" s="47"/>
      <c r="JMC37" s="47"/>
      <c r="JMD37" s="47"/>
      <c r="JME37" s="47"/>
      <c r="JMF37" s="47"/>
      <c r="JMG37" s="47"/>
      <c r="JMH37" s="47"/>
      <c r="JMI37" s="47"/>
      <c r="JMJ37" s="47"/>
      <c r="JMK37" s="47"/>
      <c r="JML37" s="47"/>
      <c r="JMM37" s="47"/>
      <c r="JMN37" s="47"/>
      <c r="JMO37" s="47"/>
      <c r="JMP37" s="47"/>
      <c r="JMQ37" s="47"/>
      <c r="JMR37" s="47"/>
      <c r="JMS37" s="47"/>
      <c r="JMT37" s="47"/>
      <c r="JMU37" s="47"/>
      <c r="JMV37" s="47"/>
      <c r="JMW37" s="47"/>
      <c r="JMX37" s="47"/>
      <c r="JMY37" s="47"/>
      <c r="JMZ37" s="47"/>
      <c r="JNA37" s="47"/>
      <c r="JNB37" s="47"/>
      <c r="JNC37" s="47"/>
      <c r="JND37" s="47"/>
      <c r="JNE37" s="47"/>
      <c r="JNF37" s="47"/>
      <c r="JNG37" s="47"/>
      <c r="JNH37" s="47"/>
      <c r="JNI37" s="47"/>
      <c r="JNJ37" s="47"/>
      <c r="JNK37" s="47"/>
      <c r="JNL37" s="47"/>
      <c r="JNM37" s="47"/>
      <c r="JNN37" s="47"/>
      <c r="JNO37" s="47"/>
      <c r="JNP37" s="47"/>
      <c r="JNQ37" s="47"/>
      <c r="JNR37" s="47"/>
      <c r="JNS37" s="47"/>
      <c r="JNT37" s="47"/>
      <c r="JNU37" s="47"/>
      <c r="JNV37" s="47"/>
      <c r="JNW37" s="47"/>
      <c r="JNX37" s="47"/>
      <c r="JNY37" s="47"/>
      <c r="JNZ37" s="47"/>
      <c r="JOA37" s="47"/>
      <c r="JOB37" s="47"/>
      <c r="JOC37" s="47"/>
      <c r="JOD37" s="47"/>
      <c r="JOE37" s="47"/>
      <c r="JOF37" s="47"/>
      <c r="JOG37" s="47"/>
      <c r="JOH37" s="47"/>
      <c r="JOI37" s="47"/>
      <c r="JOJ37" s="47"/>
      <c r="JOK37" s="47"/>
      <c r="JOL37" s="47"/>
      <c r="JOM37" s="47"/>
      <c r="JON37" s="47"/>
      <c r="JOO37" s="47"/>
      <c r="JOP37" s="47"/>
      <c r="JOQ37" s="47"/>
      <c r="JOR37" s="47"/>
      <c r="JOS37" s="47"/>
      <c r="JOT37" s="47"/>
      <c r="JOU37" s="47"/>
      <c r="JOV37" s="47"/>
      <c r="JOW37" s="47"/>
      <c r="JOX37" s="47"/>
      <c r="JOY37" s="47"/>
      <c r="JOZ37" s="47"/>
      <c r="JPA37" s="47"/>
      <c r="JPB37" s="47"/>
      <c r="JPC37" s="47"/>
      <c r="JPD37" s="47"/>
      <c r="JPE37" s="47"/>
      <c r="JPF37" s="47"/>
      <c r="JPG37" s="47"/>
      <c r="JPH37" s="47"/>
      <c r="JPI37" s="47"/>
      <c r="JPJ37" s="47"/>
      <c r="JPK37" s="47"/>
      <c r="JPL37" s="47"/>
      <c r="JPM37" s="47"/>
      <c r="JPN37" s="47"/>
      <c r="JPO37" s="47"/>
      <c r="JPP37" s="47"/>
      <c r="JPQ37" s="47"/>
      <c r="JPR37" s="47"/>
      <c r="JPS37" s="47"/>
      <c r="JPT37" s="47"/>
      <c r="JPU37" s="47"/>
      <c r="JPV37" s="47"/>
      <c r="JPW37" s="47"/>
      <c r="JPX37" s="47"/>
      <c r="JPY37" s="47"/>
      <c r="JPZ37" s="47"/>
      <c r="JQA37" s="47"/>
      <c r="JQB37" s="47"/>
      <c r="JQC37" s="47"/>
      <c r="JQD37" s="47"/>
      <c r="JQE37" s="47"/>
      <c r="JQF37" s="47"/>
      <c r="JQG37" s="47"/>
      <c r="JQH37" s="47"/>
      <c r="JQI37" s="47"/>
      <c r="JQJ37" s="47"/>
      <c r="JQK37" s="47"/>
      <c r="JQL37" s="47"/>
      <c r="JQM37" s="47"/>
      <c r="JQN37" s="47"/>
      <c r="JQO37" s="47"/>
      <c r="JQP37" s="47"/>
      <c r="JQQ37" s="47"/>
      <c r="JQR37" s="47"/>
      <c r="JQS37" s="47"/>
      <c r="JQT37" s="47"/>
      <c r="JQU37" s="47"/>
      <c r="JQV37" s="47"/>
      <c r="JQW37" s="47"/>
      <c r="JQX37" s="47"/>
      <c r="JQY37" s="47"/>
      <c r="JQZ37" s="47"/>
      <c r="JRA37" s="47"/>
      <c r="JRB37" s="47"/>
      <c r="JRC37" s="47"/>
      <c r="JRD37" s="47"/>
      <c r="JRE37" s="47"/>
      <c r="JRF37" s="47"/>
      <c r="JRG37" s="47"/>
      <c r="JRH37" s="47"/>
      <c r="JRI37" s="47"/>
      <c r="JRJ37" s="47"/>
      <c r="JRK37" s="47"/>
      <c r="JRL37" s="47"/>
      <c r="JRM37" s="47"/>
      <c r="JRN37" s="47"/>
      <c r="JRO37" s="47"/>
      <c r="JRP37" s="47"/>
      <c r="JRQ37" s="47"/>
      <c r="JRR37" s="47"/>
      <c r="JRS37" s="47"/>
      <c r="JRT37" s="47"/>
      <c r="JRU37" s="47"/>
      <c r="JRV37" s="47"/>
      <c r="JRW37" s="47"/>
      <c r="JRX37" s="47"/>
      <c r="JRY37" s="47"/>
      <c r="JRZ37" s="47"/>
      <c r="JSA37" s="47"/>
      <c r="JSB37" s="47"/>
      <c r="JSC37" s="47"/>
      <c r="JSD37" s="47"/>
      <c r="JSE37" s="47"/>
      <c r="JSF37" s="47"/>
      <c r="JSG37" s="47"/>
      <c r="JSH37" s="47"/>
      <c r="JSI37" s="47"/>
      <c r="JSJ37" s="47"/>
      <c r="JSK37" s="47"/>
      <c r="JSL37" s="47"/>
      <c r="JSM37" s="47"/>
      <c r="JSN37" s="47"/>
      <c r="JSO37" s="47"/>
      <c r="JSP37" s="47"/>
      <c r="JSQ37" s="47"/>
      <c r="JSR37" s="47"/>
      <c r="JSS37" s="47"/>
      <c r="JST37" s="47"/>
      <c r="JSU37" s="47"/>
      <c r="JSV37" s="47"/>
      <c r="JSW37" s="47"/>
      <c r="JSX37" s="47"/>
      <c r="JSY37" s="47"/>
      <c r="JSZ37" s="47"/>
      <c r="JTA37" s="47"/>
      <c r="JTB37" s="47"/>
      <c r="JTC37" s="47"/>
      <c r="JTD37" s="47"/>
      <c r="JTE37" s="47"/>
      <c r="JTF37" s="47"/>
      <c r="JTG37" s="47"/>
      <c r="JTH37" s="47"/>
      <c r="JTI37" s="47"/>
      <c r="JTJ37" s="47"/>
      <c r="JTK37" s="47"/>
      <c r="JTL37" s="47"/>
      <c r="JTM37" s="47"/>
      <c r="JTN37" s="47"/>
      <c r="JTO37" s="47"/>
      <c r="JTP37" s="47"/>
      <c r="JTQ37" s="47"/>
      <c r="JTR37" s="47"/>
      <c r="JTS37" s="47"/>
      <c r="JTT37" s="47"/>
      <c r="JTU37" s="47"/>
      <c r="JTV37" s="47"/>
      <c r="JTW37" s="47"/>
      <c r="JTX37" s="47"/>
      <c r="JTY37" s="47"/>
      <c r="JTZ37" s="47"/>
      <c r="JUA37" s="47"/>
      <c r="JUB37" s="47"/>
      <c r="JUC37" s="47"/>
      <c r="JUD37" s="47"/>
      <c r="JUE37" s="47"/>
      <c r="JUF37" s="47"/>
      <c r="JUG37" s="47"/>
      <c r="JUH37" s="47"/>
      <c r="JUI37" s="47"/>
      <c r="JUJ37" s="47"/>
      <c r="JUK37" s="47"/>
      <c r="JUL37" s="47"/>
      <c r="JUM37" s="47"/>
      <c r="JUN37" s="47"/>
      <c r="JUO37" s="47"/>
      <c r="JUP37" s="47"/>
      <c r="JUQ37" s="47"/>
      <c r="JUR37" s="47"/>
      <c r="JUS37" s="47"/>
      <c r="JUT37" s="47"/>
      <c r="JUU37" s="47"/>
      <c r="JUV37" s="47"/>
      <c r="JUW37" s="47"/>
      <c r="JUX37" s="47"/>
      <c r="JUY37" s="47"/>
      <c r="JUZ37" s="47"/>
      <c r="JVA37" s="47"/>
      <c r="JVB37" s="47"/>
      <c r="JVC37" s="47"/>
      <c r="JVD37" s="47"/>
      <c r="JVE37" s="47"/>
      <c r="JVF37" s="47"/>
      <c r="JVG37" s="47"/>
      <c r="JVH37" s="47"/>
      <c r="JVI37" s="47"/>
      <c r="JVJ37" s="47"/>
      <c r="JVK37" s="47"/>
      <c r="JVL37" s="47"/>
      <c r="JVM37" s="47"/>
      <c r="JVN37" s="47"/>
      <c r="JVO37" s="47"/>
      <c r="JVP37" s="47"/>
      <c r="JVQ37" s="47"/>
      <c r="JVR37" s="47"/>
      <c r="JVS37" s="47"/>
      <c r="JVT37" s="47"/>
      <c r="JVU37" s="47"/>
      <c r="JVV37" s="47"/>
      <c r="JVW37" s="47"/>
      <c r="JVX37" s="47"/>
      <c r="JVY37" s="47"/>
      <c r="JVZ37" s="47"/>
      <c r="JWA37" s="47"/>
      <c r="JWB37" s="47"/>
      <c r="JWC37" s="47"/>
      <c r="JWD37" s="47"/>
      <c r="JWE37" s="47"/>
      <c r="JWF37" s="47"/>
      <c r="JWG37" s="47"/>
      <c r="JWH37" s="47"/>
      <c r="JWI37" s="47"/>
      <c r="JWJ37" s="47"/>
      <c r="JWK37" s="47"/>
      <c r="JWL37" s="47"/>
      <c r="JWM37" s="47"/>
      <c r="JWN37" s="47"/>
      <c r="JWO37" s="47"/>
      <c r="JWP37" s="47"/>
      <c r="JWQ37" s="47"/>
      <c r="JWR37" s="47"/>
      <c r="JWS37" s="47"/>
      <c r="JWT37" s="47"/>
      <c r="JWU37" s="47"/>
      <c r="JWV37" s="47"/>
      <c r="JWW37" s="47"/>
      <c r="JWX37" s="47"/>
      <c r="JWY37" s="47"/>
      <c r="JWZ37" s="47"/>
      <c r="JXA37" s="47"/>
      <c r="JXB37" s="47"/>
      <c r="JXC37" s="47"/>
      <c r="JXD37" s="47"/>
      <c r="JXE37" s="47"/>
      <c r="JXF37" s="47"/>
      <c r="JXG37" s="47"/>
      <c r="JXH37" s="47"/>
      <c r="JXI37" s="47"/>
      <c r="JXJ37" s="47"/>
      <c r="JXK37" s="47"/>
      <c r="JXL37" s="47"/>
      <c r="JXM37" s="47"/>
      <c r="JXN37" s="47"/>
      <c r="JXO37" s="47"/>
      <c r="JXP37" s="47"/>
      <c r="JXQ37" s="47"/>
      <c r="JXR37" s="47"/>
      <c r="JXS37" s="47"/>
      <c r="JXT37" s="47"/>
      <c r="JXU37" s="47"/>
      <c r="JXV37" s="47"/>
      <c r="JXW37" s="47"/>
      <c r="JXX37" s="47"/>
      <c r="JXY37" s="47"/>
      <c r="JXZ37" s="47"/>
      <c r="JYA37" s="47"/>
      <c r="JYB37" s="47"/>
      <c r="JYC37" s="47"/>
      <c r="JYD37" s="47"/>
      <c r="JYE37" s="47"/>
      <c r="JYF37" s="47"/>
      <c r="JYG37" s="47"/>
      <c r="JYH37" s="47"/>
      <c r="JYI37" s="47"/>
      <c r="JYJ37" s="47"/>
      <c r="JYK37" s="47"/>
      <c r="JYL37" s="47"/>
      <c r="JYM37" s="47"/>
      <c r="JYN37" s="47"/>
      <c r="JYO37" s="47"/>
      <c r="JYP37" s="47"/>
      <c r="JYQ37" s="47"/>
      <c r="JYR37" s="47"/>
      <c r="JYS37" s="47"/>
      <c r="JYT37" s="47"/>
      <c r="JYU37" s="47"/>
      <c r="JYV37" s="47"/>
      <c r="JYW37" s="47"/>
      <c r="JYX37" s="47"/>
      <c r="JYY37" s="47"/>
      <c r="JYZ37" s="47"/>
      <c r="JZA37" s="47"/>
      <c r="JZB37" s="47"/>
      <c r="JZC37" s="47"/>
      <c r="JZD37" s="47"/>
      <c r="JZE37" s="47"/>
      <c r="JZF37" s="47"/>
      <c r="JZG37" s="47"/>
      <c r="JZH37" s="47"/>
      <c r="JZI37" s="47"/>
      <c r="JZJ37" s="47"/>
      <c r="JZK37" s="47"/>
      <c r="JZL37" s="47"/>
      <c r="JZM37" s="47"/>
      <c r="JZN37" s="47"/>
      <c r="JZO37" s="47"/>
      <c r="JZP37" s="47"/>
      <c r="JZQ37" s="47"/>
      <c r="JZR37" s="47"/>
      <c r="JZS37" s="47"/>
      <c r="JZT37" s="47"/>
      <c r="JZU37" s="47"/>
      <c r="JZV37" s="47"/>
      <c r="JZW37" s="47"/>
      <c r="JZX37" s="47"/>
      <c r="JZY37" s="47"/>
      <c r="JZZ37" s="47"/>
      <c r="KAA37" s="47"/>
      <c r="KAB37" s="47"/>
      <c r="KAC37" s="47"/>
      <c r="KAD37" s="47"/>
      <c r="KAE37" s="47"/>
      <c r="KAF37" s="47"/>
      <c r="KAG37" s="47"/>
      <c r="KAH37" s="47"/>
      <c r="KAI37" s="47"/>
      <c r="KAJ37" s="47"/>
      <c r="KAK37" s="47"/>
      <c r="KAL37" s="47"/>
      <c r="KAM37" s="47"/>
      <c r="KAN37" s="47"/>
      <c r="KAO37" s="47"/>
      <c r="KAP37" s="47"/>
      <c r="KAQ37" s="47"/>
      <c r="KAR37" s="47"/>
      <c r="KAS37" s="47"/>
      <c r="KAT37" s="47"/>
      <c r="KAU37" s="47"/>
      <c r="KAV37" s="47"/>
      <c r="KAW37" s="47"/>
      <c r="KAX37" s="47"/>
      <c r="KAY37" s="47"/>
      <c r="KAZ37" s="47"/>
      <c r="KBA37" s="47"/>
      <c r="KBB37" s="47"/>
      <c r="KBC37" s="47"/>
      <c r="KBD37" s="47"/>
      <c r="KBE37" s="47"/>
      <c r="KBF37" s="47"/>
      <c r="KBG37" s="47"/>
      <c r="KBH37" s="47"/>
      <c r="KBI37" s="47"/>
      <c r="KBJ37" s="47"/>
      <c r="KBK37" s="47"/>
      <c r="KBL37" s="47"/>
      <c r="KBM37" s="47"/>
      <c r="KBN37" s="47"/>
      <c r="KBO37" s="47"/>
      <c r="KBP37" s="47"/>
      <c r="KBQ37" s="47"/>
      <c r="KBR37" s="47"/>
      <c r="KBS37" s="47"/>
      <c r="KBT37" s="47"/>
      <c r="KBU37" s="47"/>
      <c r="KBV37" s="47"/>
      <c r="KBW37" s="47"/>
      <c r="KBX37" s="47"/>
      <c r="KBY37" s="47"/>
      <c r="KBZ37" s="47"/>
      <c r="KCA37" s="47"/>
      <c r="KCB37" s="47"/>
      <c r="KCC37" s="47"/>
      <c r="KCD37" s="47"/>
      <c r="KCE37" s="47"/>
      <c r="KCF37" s="47"/>
      <c r="KCG37" s="47"/>
      <c r="KCH37" s="47"/>
      <c r="KCI37" s="47"/>
      <c r="KCJ37" s="47"/>
      <c r="KCK37" s="47"/>
      <c r="KCL37" s="47"/>
      <c r="KCM37" s="47"/>
      <c r="KCN37" s="47"/>
      <c r="KCO37" s="47"/>
      <c r="KCP37" s="47"/>
      <c r="KCQ37" s="47"/>
      <c r="KCR37" s="47"/>
      <c r="KCS37" s="47"/>
      <c r="KCT37" s="47"/>
      <c r="KCU37" s="47"/>
      <c r="KCV37" s="47"/>
      <c r="KCW37" s="47"/>
      <c r="KCX37" s="47"/>
      <c r="KCY37" s="47"/>
      <c r="KCZ37" s="47"/>
      <c r="KDA37" s="47"/>
      <c r="KDB37" s="47"/>
      <c r="KDC37" s="47"/>
      <c r="KDD37" s="47"/>
      <c r="KDE37" s="47"/>
      <c r="KDF37" s="47"/>
      <c r="KDG37" s="47"/>
      <c r="KDH37" s="47"/>
      <c r="KDI37" s="47"/>
      <c r="KDJ37" s="47"/>
      <c r="KDK37" s="47"/>
      <c r="KDL37" s="47"/>
      <c r="KDM37" s="47"/>
      <c r="KDN37" s="47"/>
      <c r="KDO37" s="47"/>
      <c r="KDP37" s="47"/>
      <c r="KDQ37" s="47"/>
      <c r="KDR37" s="47"/>
      <c r="KDS37" s="47"/>
      <c r="KDT37" s="47"/>
      <c r="KDU37" s="47"/>
      <c r="KDV37" s="47"/>
      <c r="KDW37" s="47"/>
      <c r="KDX37" s="47"/>
      <c r="KDY37" s="47"/>
      <c r="KDZ37" s="47"/>
      <c r="KEA37" s="47"/>
      <c r="KEB37" s="47"/>
      <c r="KEC37" s="47"/>
      <c r="KED37" s="47"/>
      <c r="KEE37" s="47"/>
      <c r="KEF37" s="47"/>
      <c r="KEG37" s="47"/>
      <c r="KEH37" s="47"/>
      <c r="KEI37" s="47"/>
      <c r="KEJ37" s="47"/>
      <c r="KEK37" s="47"/>
      <c r="KEL37" s="47"/>
      <c r="KEM37" s="47"/>
      <c r="KEN37" s="47"/>
      <c r="KEO37" s="47"/>
      <c r="KEP37" s="47"/>
      <c r="KEQ37" s="47"/>
      <c r="KER37" s="47"/>
      <c r="KES37" s="47"/>
      <c r="KET37" s="47"/>
      <c r="KEU37" s="47"/>
      <c r="KEV37" s="47"/>
      <c r="KEW37" s="47"/>
      <c r="KEX37" s="47"/>
      <c r="KEY37" s="47"/>
      <c r="KEZ37" s="47"/>
      <c r="KFA37" s="47"/>
      <c r="KFB37" s="47"/>
      <c r="KFC37" s="47"/>
      <c r="KFD37" s="47"/>
      <c r="KFE37" s="47"/>
      <c r="KFF37" s="47"/>
      <c r="KFG37" s="47"/>
      <c r="KFH37" s="47"/>
      <c r="KFI37" s="47"/>
      <c r="KFJ37" s="47"/>
      <c r="KFK37" s="47"/>
      <c r="KFL37" s="47"/>
      <c r="KFM37" s="47"/>
      <c r="KFN37" s="47"/>
      <c r="KFO37" s="47"/>
      <c r="KFP37" s="47"/>
      <c r="KFQ37" s="47"/>
      <c r="KFR37" s="47"/>
      <c r="KFS37" s="47"/>
      <c r="KFT37" s="47"/>
      <c r="KFU37" s="47"/>
      <c r="KFV37" s="47"/>
      <c r="KFW37" s="47"/>
      <c r="KFX37" s="47"/>
      <c r="KFY37" s="47"/>
      <c r="KFZ37" s="47"/>
      <c r="KGA37" s="47"/>
      <c r="KGB37" s="47"/>
      <c r="KGC37" s="47"/>
      <c r="KGD37" s="47"/>
      <c r="KGE37" s="47"/>
      <c r="KGF37" s="47"/>
      <c r="KGG37" s="47"/>
      <c r="KGH37" s="47"/>
      <c r="KGI37" s="47"/>
      <c r="KGJ37" s="47"/>
      <c r="KGK37" s="47"/>
      <c r="KGL37" s="47"/>
      <c r="KGM37" s="47"/>
      <c r="KGN37" s="47"/>
      <c r="KGO37" s="47"/>
      <c r="KGP37" s="47"/>
      <c r="KGQ37" s="47"/>
      <c r="KGR37" s="47"/>
      <c r="KGS37" s="47"/>
      <c r="KGT37" s="47"/>
      <c r="KGU37" s="47"/>
      <c r="KGV37" s="47"/>
      <c r="KGW37" s="47"/>
      <c r="KGX37" s="47"/>
      <c r="KGY37" s="47"/>
      <c r="KGZ37" s="47"/>
      <c r="KHA37" s="47"/>
      <c r="KHB37" s="47"/>
      <c r="KHC37" s="47"/>
      <c r="KHD37" s="47"/>
      <c r="KHE37" s="47"/>
      <c r="KHF37" s="47"/>
      <c r="KHG37" s="47"/>
      <c r="KHH37" s="47"/>
      <c r="KHI37" s="47"/>
      <c r="KHJ37" s="47"/>
      <c r="KHK37" s="47"/>
      <c r="KHL37" s="47"/>
      <c r="KHM37" s="47"/>
      <c r="KHN37" s="47"/>
      <c r="KHO37" s="47"/>
      <c r="KHP37" s="47"/>
      <c r="KHQ37" s="47"/>
      <c r="KHR37" s="47"/>
      <c r="KHS37" s="47"/>
      <c r="KHT37" s="47"/>
      <c r="KHU37" s="47"/>
      <c r="KHV37" s="47"/>
      <c r="KHW37" s="47"/>
      <c r="KHX37" s="47"/>
      <c r="KHY37" s="47"/>
      <c r="KHZ37" s="47"/>
      <c r="KIA37" s="47"/>
      <c r="KIB37" s="47"/>
      <c r="KIC37" s="47"/>
      <c r="KID37" s="47"/>
      <c r="KIE37" s="47"/>
      <c r="KIF37" s="47"/>
      <c r="KIG37" s="47"/>
      <c r="KIH37" s="47"/>
      <c r="KII37" s="47"/>
      <c r="KIJ37" s="47"/>
      <c r="KIK37" s="47"/>
      <c r="KIL37" s="47"/>
      <c r="KIM37" s="47"/>
      <c r="KIN37" s="47"/>
      <c r="KIO37" s="47"/>
      <c r="KIP37" s="47"/>
      <c r="KIQ37" s="47"/>
      <c r="KIR37" s="47"/>
      <c r="KIS37" s="47"/>
      <c r="KIT37" s="47"/>
      <c r="KIU37" s="47"/>
      <c r="KIV37" s="47"/>
      <c r="KIW37" s="47"/>
      <c r="KIX37" s="47"/>
      <c r="KIY37" s="47"/>
      <c r="KIZ37" s="47"/>
      <c r="KJA37" s="47"/>
      <c r="KJB37" s="47"/>
      <c r="KJC37" s="47"/>
      <c r="KJD37" s="47"/>
      <c r="KJE37" s="47"/>
      <c r="KJF37" s="47"/>
      <c r="KJG37" s="47"/>
      <c r="KJH37" s="47"/>
      <c r="KJI37" s="47"/>
      <c r="KJJ37" s="47"/>
      <c r="KJK37" s="47"/>
      <c r="KJL37" s="47"/>
      <c r="KJM37" s="47"/>
      <c r="KJN37" s="47"/>
      <c r="KJO37" s="47"/>
      <c r="KJP37" s="47"/>
      <c r="KJQ37" s="47"/>
      <c r="KJR37" s="47"/>
      <c r="KJS37" s="47"/>
      <c r="KJT37" s="47"/>
      <c r="KJU37" s="47"/>
      <c r="KJV37" s="47"/>
      <c r="KJW37" s="47"/>
      <c r="KJX37" s="47"/>
      <c r="KJY37" s="47"/>
      <c r="KJZ37" s="47"/>
      <c r="KKA37" s="47"/>
      <c r="KKB37" s="47"/>
      <c r="KKC37" s="47"/>
      <c r="KKD37" s="47"/>
      <c r="KKE37" s="47"/>
      <c r="KKF37" s="47"/>
      <c r="KKG37" s="47"/>
      <c r="KKH37" s="47"/>
      <c r="KKI37" s="47"/>
      <c r="KKJ37" s="47"/>
      <c r="KKK37" s="47"/>
      <c r="KKL37" s="47"/>
      <c r="KKM37" s="47"/>
      <c r="KKN37" s="47"/>
      <c r="KKO37" s="47"/>
      <c r="KKP37" s="47"/>
      <c r="KKQ37" s="47"/>
      <c r="KKR37" s="47"/>
      <c r="KKS37" s="47"/>
      <c r="KKT37" s="47"/>
      <c r="KKU37" s="47"/>
      <c r="KKV37" s="47"/>
      <c r="KKW37" s="47"/>
      <c r="KKX37" s="47"/>
      <c r="KKY37" s="47"/>
      <c r="KKZ37" s="47"/>
      <c r="KLA37" s="47"/>
      <c r="KLB37" s="47"/>
      <c r="KLC37" s="47"/>
      <c r="KLD37" s="47"/>
      <c r="KLE37" s="47"/>
      <c r="KLF37" s="47"/>
      <c r="KLG37" s="47"/>
      <c r="KLH37" s="47"/>
      <c r="KLI37" s="47"/>
      <c r="KLJ37" s="47"/>
      <c r="KLK37" s="47"/>
      <c r="KLL37" s="47"/>
      <c r="KLM37" s="47"/>
      <c r="KLN37" s="47"/>
      <c r="KLO37" s="47"/>
      <c r="KLP37" s="47"/>
      <c r="KLQ37" s="47"/>
      <c r="KLR37" s="47"/>
      <c r="KLS37" s="47"/>
      <c r="KLT37" s="47"/>
      <c r="KLU37" s="47"/>
      <c r="KLV37" s="47"/>
      <c r="KLW37" s="47"/>
      <c r="KLX37" s="47"/>
      <c r="KLY37" s="47"/>
      <c r="KLZ37" s="47"/>
      <c r="KMA37" s="47"/>
      <c r="KMB37" s="47"/>
      <c r="KMC37" s="47"/>
      <c r="KMD37" s="47"/>
      <c r="KME37" s="47"/>
      <c r="KMF37" s="47"/>
      <c r="KMG37" s="47"/>
      <c r="KMH37" s="47"/>
      <c r="KMI37" s="47"/>
      <c r="KMJ37" s="47"/>
      <c r="KMK37" s="47"/>
      <c r="KML37" s="47"/>
      <c r="KMM37" s="47"/>
      <c r="KMN37" s="47"/>
      <c r="KMO37" s="47"/>
      <c r="KMP37" s="47"/>
      <c r="KMQ37" s="47"/>
      <c r="KMR37" s="47"/>
      <c r="KMS37" s="47"/>
      <c r="KMT37" s="47"/>
      <c r="KMU37" s="47"/>
      <c r="KMV37" s="47"/>
      <c r="KMW37" s="47"/>
      <c r="KMX37" s="47"/>
      <c r="KMY37" s="47"/>
      <c r="KMZ37" s="47"/>
      <c r="KNA37" s="47"/>
      <c r="KNB37" s="47"/>
      <c r="KNC37" s="47"/>
      <c r="KND37" s="47"/>
      <c r="KNE37" s="47"/>
      <c r="KNF37" s="47"/>
      <c r="KNG37" s="47"/>
      <c r="KNH37" s="47"/>
      <c r="KNI37" s="47"/>
      <c r="KNJ37" s="47"/>
      <c r="KNK37" s="47"/>
      <c r="KNL37" s="47"/>
      <c r="KNM37" s="47"/>
      <c r="KNN37" s="47"/>
      <c r="KNO37" s="47"/>
      <c r="KNP37" s="47"/>
      <c r="KNQ37" s="47"/>
      <c r="KNR37" s="47"/>
      <c r="KNS37" s="47"/>
      <c r="KNT37" s="47"/>
      <c r="KNU37" s="47"/>
      <c r="KNV37" s="47"/>
      <c r="KNW37" s="47"/>
      <c r="KNX37" s="47"/>
      <c r="KNY37" s="47"/>
      <c r="KNZ37" s="47"/>
      <c r="KOA37" s="47"/>
      <c r="KOB37" s="47"/>
      <c r="KOC37" s="47"/>
      <c r="KOD37" s="47"/>
      <c r="KOE37" s="47"/>
      <c r="KOF37" s="47"/>
      <c r="KOG37" s="47"/>
      <c r="KOH37" s="47"/>
      <c r="KOI37" s="47"/>
      <c r="KOJ37" s="47"/>
      <c r="KOK37" s="47"/>
      <c r="KOL37" s="47"/>
      <c r="KOM37" s="47"/>
      <c r="KON37" s="47"/>
      <c r="KOO37" s="47"/>
      <c r="KOP37" s="47"/>
      <c r="KOQ37" s="47"/>
      <c r="KOR37" s="47"/>
      <c r="KOS37" s="47"/>
      <c r="KOT37" s="47"/>
      <c r="KOU37" s="47"/>
      <c r="KOV37" s="47"/>
      <c r="KOW37" s="47"/>
      <c r="KOX37" s="47"/>
      <c r="KOY37" s="47"/>
      <c r="KOZ37" s="47"/>
      <c r="KPA37" s="47"/>
      <c r="KPB37" s="47"/>
      <c r="KPC37" s="47"/>
      <c r="KPD37" s="47"/>
      <c r="KPE37" s="47"/>
      <c r="KPF37" s="47"/>
      <c r="KPG37" s="47"/>
      <c r="KPH37" s="47"/>
      <c r="KPI37" s="47"/>
      <c r="KPJ37" s="47"/>
      <c r="KPK37" s="47"/>
      <c r="KPL37" s="47"/>
      <c r="KPM37" s="47"/>
      <c r="KPN37" s="47"/>
      <c r="KPO37" s="47"/>
      <c r="KPP37" s="47"/>
      <c r="KPQ37" s="47"/>
      <c r="KPR37" s="47"/>
      <c r="KPS37" s="47"/>
      <c r="KPT37" s="47"/>
      <c r="KPU37" s="47"/>
      <c r="KPV37" s="47"/>
      <c r="KPW37" s="47"/>
      <c r="KPX37" s="47"/>
      <c r="KPY37" s="47"/>
      <c r="KPZ37" s="47"/>
      <c r="KQA37" s="47"/>
      <c r="KQB37" s="47"/>
      <c r="KQC37" s="47"/>
      <c r="KQD37" s="47"/>
      <c r="KQE37" s="47"/>
      <c r="KQF37" s="47"/>
      <c r="KQG37" s="47"/>
      <c r="KQH37" s="47"/>
      <c r="KQI37" s="47"/>
      <c r="KQJ37" s="47"/>
      <c r="KQK37" s="47"/>
      <c r="KQL37" s="47"/>
      <c r="KQM37" s="47"/>
      <c r="KQN37" s="47"/>
      <c r="KQO37" s="47"/>
      <c r="KQP37" s="47"/>
      <c r="KQQ37" s="47"/>
      <c r="KQR37" s="47"/>
      <c r="KQS37" s="47"/>
      <c r="KQT37" s="47"/>
      <c r="KQU37" s="47"/>
      <c r="KQV37" s="47"/>
      <c r="KQW37" s="47"/>
      <c r="KQX37" s="47"/>
      <c r="KQY37" s="47"/>
      <c r="KQZ37" s="47"/>
      <c r="KRA37" s="47"/>
      <c r="KRB37" s="47"/>
      <c r="KRC37" s="47"/>
      <c r="KRD37" s="47"/>
      <c r="KRE37" s="47"/>
      <c r="KRF37" s="47"/>
      <c r="KRG37" s="47"/>
      <c r="KRH37" s="47"/>
      <c r="KRI37" s="47"/>
      <c r="KRJ37" s="47"/>
      <c r="KRK37" s="47"/>
      <c r="KRL37" s="47"/>
      <c r="KRM37" s="47"/>
      <c r="KRN37" s="47"/>
      <c r="KRO37" s="47"/>
      <c r="KRP37" s="47"/>
      <c r="KRQ37" s="47"/>
      <c r="KRR37" s="47"/>
      <c r="KRS37" s="47"/>
      <c r="KRT37" s="47"/>
      <c r="KRU37" s="47"/>
      <c r="KRV37" s="47"/>
      <c r="KRW37" s="47"/>
      <c r="KRX37" s="47"/>
      <c r="KRY37" s="47"/>
      <c r="KRZ37" s="47"/>
      <c r="KSA37" s="47"/>
      <c r="KSB37" s="47"/>
      <c r="KSC37" s="47"/>
      <c r="KSD37" s="47"/>
      <c r="KSE37" s="47"/>
      <c r="KSF37" s="47"/>
      <c r="KSG37" s="47"/>
      <c r="KSH37" s="47"/>
      <c r="KSI37" s="47"/>
      <c r="KSJ37" s="47"/>
      <c r="KSK37" s="47"/>
      <c r="KSL37" s="47"/>
      <c r="KSM37" s="47"/>
      <c r="KSN37" s="47"/>
      <c r="KSO37" s="47"/>
      <c r="KSP37" s="47"/>
      <c r="KSQ37" s="47"/>
      <c r="KSR37" s="47"/>
      <c r="KSS37" s="47"/>
      <c r="KST37" s="47"/>
      <c r="KSU37" s="47"/>
      <c r="KSV37" s="47"/>
      <c r="KSW37" s="47"/>
      <c r="KSX37" s="47"/>
      <c r="KSY37" s="47"/>
      <c r="KSZ37" s="47"/>
      <c r="KTA37" s="47"/>
      <c r="KTB37" s="47"/>
      <c r="KTC37" s="47"/>
      <c r="KTD37" s="47"/>
      <c r="KTE37" s="47"/>
      <c r="KTF37" s="47"/>
      <c r="KTG37" s="47"/>
      <c r="KTH37" s="47"/>
      <c r="KTI37" s="47"/>
      <c r="KTJ37" s="47"/>
      <c r="KTK37" s="47"/>
      <c r="KTL37" s="47"/>
      <c r="KTM37" s="47"/>
      <c r="KTN37" s="47"/>
      <c r="KTO37" s="47"/>
      <c r="KTP37" s="47"/>
      <c r="KTQ37" s="47"/>
      <c r="KTR37" s="47"/>
      <c r="KTS37" s="47"/>
      <c r="KTT37" s="47"/>
      <c r="KTU37" s="47"/>
      <c r="KTV37" s="47"/>
      <c r="KTW37" s="47"/>
      <c r="KTX37" s="47"/>
      <c r="KTY37" s="47"/>
      <c r="KTZ37" s="47"/>
      <c r="KUA37" s="47"/>
      <c r="KUB37" s="47"/>
      <c r="KUC37" s="47"/>
      <c r="KUD37" s="47"/>
      <c r="KUE37" s="47"/>
      <c r="KUF37" s="47"/>
      <c r="KUG37" s="47"/>
      <c r="KUH37" s="47"/>
      <c r="KUI37" s="47"/>
      <c r="KUJ37" s="47"/>
      <c r="KUK37" s="47"/>
      <c r="KUL37" s="47"/>
      <c r="KUM37" s="47"/>
      <c r="KUN37" s="47"/>
      <c r="KUO37" s="47"/>
      <c r="KUP37" s="47"/>
      <c r="KUQ37" s="47"/>
      <c r="KUR37" s="47"/>
      <c r="KUS37" s="47"/>
      <c r="KUT37" s="47"/>
      <c r="KUU37" s="47"/>
      <c r="KUV37" s="47"/>
      <c r="KUW37" s="47"/>
      <c r="KUX37" s="47"/>
      <c r="KUY37" s="47"/>
      <c r="KUZ37" s="47"/>
      <c r="KVA37" s="47"/>
      <c r="KVB37" s="47"/>
      <c r="KVC37" s="47"/>
      <c r="KVD37" s="47"/>
      <c r="KVE37" s="47"/>
      <c r="KVF37" s="47"/>
      <c r="KVG37" s="47"/>
      <c r="KVH37" s="47"/>
      <c r="KVI37" s="47"/>
      <c r="KVJ37" s="47"/>
      <c r="KVK37" s="47"/>
      <c r="KVL37" s="47"/>
      <c r="KVM37" s="47"/>
      <c r="KVN37" s="47"/>
      <c r="KVO37" s="47"/>
      <c r="KVP37" s="47"/>
      <c r="KVQ37" s="47"/>
      <c r="KVR37" s="47"/>
      <c r="KVS37" s="47"/>
      <c r="KVT37" s="47"/>
      <c r="KVU37" s="47"/>
      <c r="KVV37" s="47"/>
      <c r="KVW37" s="47"/>
      <c r="KVX37" s="47"/>
      <c r="KVY37" s="47"/>
      <c r="KVZ37" s="47"/>
      <c r="KWA37" s="47"/>
      <c r="KWB37" s="47"/>
      <c r="KWC37" s="47"/>
      <c r="KWD37" s="47"/>
      <c r="KWE37" s="47"/>
      <c r="KWF37" s="47"/>
      <c r="KWG37" s="47"/>
      <c r="KWH37" s="47"/>
      <c r="KWI37" s="47"/>
      <c r="KWJ37" s="47"/>
      <c r="KWK37" s="47"/>
      <c r="KWL37" s="47"/>
      <c r="KWM37" s="47"/>
      <c r="KWN37" s="47"/>
      <c r="KWO37" s="47"/>
      <c r="KWP37" s="47"/>
      <c r="KWQ37" s="47"/>
      <c r="KWR37" s="47"/>
      <c r="KWS37" s="47"/>
      <c r="KWT37" s="47"/>
      <c r="KWU37" s="47"/>
      <c r="KWV37" s="47"/>
      <c r="KWW37" s="47"/>
      <c r="KWX37" s="47"/>
      <c r="KWY37" s="47"/>
      <c r="KWZ37" s="47"/>
      <c r="KXA37" s="47"/>
      <c r="KXB37" s="47"/>
      <c r="KXC37" s="47"/>
      <c r="KXD37" s="47"/>
      <c r="KXE37" s="47"/>
      <c r="KXF37" s="47"/>
      <c r="KXG37" s="47"/>
      <c r="KXH37" s="47"/>
      <c r="KXI37" s="47"/>
      <c r="KXJ37" s="47"/>
      <c r="KXK37" s="47"/>
      <c r="KXL37" s="47"/>
      <c r="KXM37" s="47"/>
      <c r="KXN37" s="47"/>
      <c r="KXO37" s="47"/>
      <c r="KXP37" s="47"/>
      <c r="KXQ37" s="47"/>
      <c r="KXR37" s="47"/>
      <c r="KXS37" s="47"/>
      <c r="KXT37" s="47"/>
      <c r="KXU37" s="47"/>
      <c r="KXV37" s="47"/>
      <c r="KXW37" s="47"/>
      <c r="KXX37" s="47"/>
      <c r="KXY37" s="47"/>
      <c r="KXZ37" s="47"/>
      <c r="KYA37" s="47"/>
      <c r="KYB37" s="47"/>
      <c r="KYC37" s="47"/>
      <c r="KYD37" s="47"/>
      <c r="KYE37" s="47"/>
      <c r="KYF37" s="47"/>
      <c r="KYG37" s="47"/>
      <c r="KYH37" s="47"/>
      <c r="KYI37" s="47"/>
      <c r="KYJ37" s="47"/>
      <c r="KYK37" s="47"/>
      <c r="KYL37" s="47"/>
      <c r="KYM37" s="47"/>
      <c r="KYN37" s="47"/>
      <c r="KYO37" s="47"/>
      <c r="KYP37" s="47"/>
      <c r="KYQ37" s="47"/>
      <c r="KYR37" s="47"/>
      <c r="KYS37" s="47"/>
      <c r="KYT37" s="47"/>
      <c r="KYU37" s="47"/>
      <c r="KYV37" s="47"/>
      <c r="KYW37" s="47"/>
      <c r="KYX37" s="47"/>
      <c r="KYY37" s="47"/>
      <c r="KYZ37" s="47"/>
      <c r="KZA37" s="47"/>
      <c r="KZB37" s="47"/>
      <c r="KZC37" s="47"/>
      <c r="KZD37" s="47"/>
      <c r="KZE37" s="47"/>
      <c r="KZF37" s="47"/>
      <c r="KZG37" s="47"/>
      <c r="KZH37" s="47"/>
      <c r="KZI37" s="47"/>
      <c r="KZJ37" s="47"/>
      <c r="KZK37" s="47"/>
      <c r="KZL37" s="47"/>
      <c r="KZM37" s="47"/>
      <c r="KZN37" s="47"/>
      <c r="KZO37" s="47"/>
      <c r="KZP37" s="47"/>
      <c r="KZQ37" s="47"/>
      <c r="KZR37" s="47"/>
      <c r="KZS37" s="47"/>
      <c r="KZT37" s="47"/>
      <c r="KZU37" s="47"/>
      <c r="KZV37" s="47"/>
      <c r="KZW37" s="47"/>
      <c r="KZX37" s="47"/>
      <c r="KZY37" s="47"/>
      <c r="KZZ37" s="47"/>
      <c r="LAA37" s="47"/>
      <c r="LAB37" s="47"/>
      <c r="LAC37" s="47"/>
      <c r="LAD37" s="47"/>
      <c r="LAE37" s="47"/>
      <c r="LAF37" s="47"/>
      <c r="LAG37" s="47"/>
      <c r="LAH37" s="47"/>
      <c r="LAI37" s="47"/>
      <c r="LAJ37" s="47"/>
      <c r="LAK37" s="47"/>
      <c r="LAL37" s="47"/>
      <c r="LAM37" s="47"/>
      <c r="LAN37" s="47"/>
      <c r="LAO37" s="47"/>
      <c r="LAP37" s="47"/>
      <c r="LAQ37" s="47"/>
      <c r="LAR37" s="47"/>
      <c r="LAS37" s="47"/>
      <c r="LAT37" s="47"/>
      <c r="LAU37" s="47"/>
      <c r="LAV37" s="47"/>
      <c r="LAW37" s="47"/>
      <c r="LAX37" s="47"/>
      <c r="LAY37" s="47"/>
      <c r="LAZ37" s="47"/>
      <c r="LBA37" s="47"/>
      <c r="LBB37" s="47"/>
      <c r="LBC37" s="47"/>
      <c r="LBD37" s="47"/>
      <c r="LBE37" s="47"/>
      <c r="LBF37" s="47"/>
      <c r="LBG37" s="47"/>
      <c r="LBH37" s="47"/>
      <c r="LBI37" s="47"/>
      <c r="LBJ37" s="47"/>
      <c r="LBK37" s="47"/>
      <c r="LBL37" s="47"/>
      <c r="LBM37" s="47"/>
      <c r="LBN37" s="47"/>
      <c r="LBO37" s="47"/>
      <c r="LBP37" s="47"/>
      <c r="LBQ37" s="47"/>
      <c r="LBR37" s="47"/>
      <c r="LBS37" s="47"/>
      <c r="LBT37" s="47"/>
      <c r="LBU37" s="47"/>
      <c r="LBV37" s="47"/>
      <c r="LBW37" s="47"/>
      <c r="LBX37" s="47"/>
      <c r="LBY37" s="47"/>
      <c r="LBZ37" s="47"/>
      <c r="LCA37" s="47"/>
      <c r="LCB37" s="47"/>
      <c r="LCC37" s="47"/>
      <c r="LCD37" s="47"/>
      <c r="LCE37" s="47"/>
      <c r="LCF37" s="47"/>
      <c r="LCG37" s="47"/>
      <c r="LCH37" s="47"/>
      <c r="LCI37" s="47"/>
      <c r="LCJ37" s="47"/>
      <c r="LCK37" s="47"/>
      <c r="LCL37" s="47"/>
      <c r="LCM37" s="47"/>
      <c r="LCN37" s="47"/>
      <c r="LCO37" s="47"/>
      <c r="LCP37" s="47"/>
      <c r="LCQ37" s="47"/>
      <c r="LCR37" s="47"/>
      <c r="LCS37" s="47"/>
      <c r="LCT37" s="47"/>
      <c r="LCU37" s="47"/>
      <c r="LCV37" s="47"/>
      <c r="LCW37" s="47"/>
      <c r="LCX37" s="47"/>
      <c r="LCY37" s="47"/>
      <c r="LCZ37" s="47"/>
      <c r="LDA37" s="47"/>
      <c r="LDB37" s="47"/>
      <c r="LDC37" s="47"/>
      <c r="LDD37" s="47"/>
      <c r="LDE37" s="47"/>
      <c r="LDF37" s="47"/>
      <c r="LDG37" s="47"/>
      <c r="LDH37" s="47"/>
      <c r="LDI37" s="47"/>
      <c r="LDJ37" s="47"/>
      <c r="LDK37" s="47"/>
      <c r="LDL37" s="47"/>
      <c r="LDM37" s="47"/>
      <c r="LDN37" s="47"/>
      <c r="LDO37" s="47"/>
      <c r="LDP37" s="47"/>
      <c r="LDQ37" s="47"/>
      <c r="LDR37" s="47"/>
      <c r="LDS37" s="47"/>
      <c r="LDT37" s="47"/>
      <c r="LDU37" s="47"/>
      <c r="LDV37" s="47"/>
      <c r="LDW37" s="47"/>
      <c r="LDX37" s="47"/>
      <c r="LDY37" s="47"/>
      <c r="LDZ37" s="47"/>
      <c r="LEA37" s="47"/>
      <c r="LEB37" s="47"/>
      <c r="LEC37" s="47"/>
      <c r="LED37" s="47"/>
      <c r="LEE37" s="47"/>
      <c r="LEF37" s="47"/>
      <c r="LEG37" s="47"/>
      <c r="LEH37" s="47"/>
      <c r="LEI37" s="47"/>
      <c r="LEJ37" s="47"/>
      <c r="LEK37" s="47"/>
      <c r="LEL37" s="47"/>
      <c r="LEM37" s="47"/>
      <c r="LEN37" s="47"/>
      <c r="LEO37" s="47"/>
      <c r="LEP37" s="47"/>
      <c r="LEQ37" s="47"/>
      <c r="LER37" s="47"/>
      <c r="LES37" s="47"/>
      <c r="LET37" s="47"/>
      <c r="LEU37" s="47"/>
      <c r="LEV37" s="47"/>
      <c r="LEW37" s="47"/>
      <c r="LEX37" s="47"/>
      <c r="LEY37" s="47"/>
      <c r="LEZ37" s="47"/>
      <c r="LFA37" s="47"/>
      <c r="LFB37" s="47"/>
      <c r="LFC37" s="47"/>
      <c r="LFD37" s="47"/>
      <c r="LFE37" s="47"/>
      <c r="LFF37" s="47"/>
      <c r="LFG37" s="47"/>
      <c r="LFH37" s="47"/>
      <c r="LFI37" s="47"/>
      <c r="LFJ37" s="47"/>
      <c r="LFK37" s="47"/>
      <c r="LFL37" s="47"/>
      <c r="LFM37" s="47"/>
      <c r="LFN37" s="47"/>
      <c r="LFO37" s="47"/>
      <c r="LFP37" s="47"/>
      <c r="LFQ37" s="47"/>
      <c r="LFR37" s="47"/>
      <c r="LFS37" s="47"/>
      <c r="LFT37" s="47"/>
      <c r="LFU37" s="47"/>
      <c r="LFV37" s="47"/>
      <c r="LFW37" s="47"/>
      <c r="LFX37" s="47"/>
      <c r="LFY37" s="47"/>
      <c r="LFZ37" s="47"/>
      <c r="LGA37" s="47"/>
      <c r="LGB37" s="47"/>
      <c r="LGC37" s="47"/>
      <c r="LGD37" s="47"/>
      <c r="LGE37" s="47"/>
      <c r="LGF37" s="47"/>
      <c r="LGG37" s="47"/>
      <c r="LGH37" s="47"/>
      <c r="LGI37" s="47"/>
      <c r="LGJ37" s="47"/>
      <c r="LGK37" s="47"/>
      <c r="LGL37" s="47"/>
      <c r="LGM37" s="47"/>
      <c r="LGN37" s="47"/>
      <c r="LGO37" s="47"/>
      <c r="LGP37" s="47"/>
      <c r="LGQ37" s="47"/>
      <c r="LGR37" s="47"/>
      <c r="LGS37" s="47"/>
      <c r="LGT37" s="47"/>
      <c r="LGU37" s="47"/>
      <c r="LGV37" s="47"/>
      <c r="LGW37" s="47"/>
      <c r="LGX37" s="47"/>
      <c r="LGY37" s="47"/>
      <c r="LGZ37" s="47"/>
      <c r="LHA37" s="47"/>
      <c r="LHB37" s="47"/>
      <c r="LHC37" s="47"/>
      <c r="LHD37" s="47"/>
      <c r="LHE37" s="47"/>
      <c r="LHF37" s="47"/>
      <c r="LHG37" s="47"/>
      <c r="LHH37" s="47"/>
      <c r="LHI37" s="47"/>
      <c r="LHJ37" s="47"/>
      <c r="LHK37" s="47"/>
      <c r="LHL37" s="47"/>
      <c r="LHM37" s="47"/>
      <c r="LHN37" s="47"/>
      <c r="LHO37" s="47"/>
      <c r="LHP37" s="47"/>
      <c r="LHQ37" s="47"/>
      <c r="LHR37" s="47"/>
      <c r="LHS37" s="47"/>
      <c r="LHT37" s="47"/>
      <c r="LHU37" s="47"/>
      <c r="LHV37" s="47"/>
      <c r="LHW37" s="47"/>
      <c r="LHX37" s="47"/>
      <c r="LHY37" s="47"/>
      <c r="LHZ37" s="47"/>
      <c r="LIA37" s="47"/>
      <c r="LIB37" s="47"/>
      <c r="LIC37" s="47"/>
      <c r="LID37" s="47"/>
      <c r="LIE37" s="47"/>
      <c r="LIF37" s="47"/>
      <c r="LIG37" s="47"/>
      <c r="LIH37" s="47"/>
      <c r="LII37" s="47"/>
      <c r="LIJ37" s="47"/>
      <c r="LIK37" s="47"/>
      <c r="LIL37" s="47"/>
      <c r="LIM37" s="47"/>
      <c r="LIN37" s="47"/>
      <c r="LIO37" s="47"/>
      <c r="LIP37" s="47"/>
      <c r="LIQ37" s="47"/>
      <c r="LIR37" s="47"/>
      <c r="LIS37" s="47"/>
      <c r="LIT37" s="47"/>
      <c r="LIU37" s="47"/>
      <c r="LIV37" s="47"/>
      <c r="LIW37" s="47"/>
      <c r="LIX37" s="47"/>
      <c r="LIY37" s="47"/>
      <c r="LIZ37" s="47"/>
      <c r="LJA37" s="47"/>
      <c r="LJB37" s="47"/>
      <c r="LJC37" s="47"/>
      <c r="LJD37" s="47"/>
      <c r="LJE37" s="47"/>
      <c r="LJF37" s="47"/>
      <c r="LJG37" s="47"/>
      <c r="LJH37" s="47"/>
      <c r="LJI37" s="47"/>
      <c r="LJJ37" s="47"/>
      <c r="LJK37" s="47"/>
      <c r="LJL37" s="47"/>
      <c r="LJM37" s="47"/>
      <c r="LJN37" s="47"/>
      <c r="LJO37" s="47"/>
      <c r="LJP37" s="47"/>
      <c r="LJQ37" s="47"/>
      <c r="LJR37" s="47"/>
      <c r="LJS37" s="47"/>
      <c r="LJT37" s="47"/>
      <c r="LJU37" s="47"/>
      <c r="LJV37" s="47"/>
      <c r="LJW37" s="47"/>
      <c r="LJX37" s="47"/>
      <c r="LJY37" s="47"/>
      <c r="LJZ37" s="47"/>
      <c r="LKA37" s="47"/>
      <c r="LKB37" s="47"/>
      <c r="LKC37" s="47"/>
      <c r="LKD37" s="47"/>
      <c r="LKE37" s="47"/>
      <c r="LKF37" s="47"/>
      <c r="LKG37" s="47"/>
      <c r="LKH37" s="47"/>
      <c r="LKI37" s="47"/>
      <c r="LKJ37" s="47"/>
      <c r="LKK37" s="47"/>
      <c r="LKL37" s="47"/>
      <c r="LKM37" s="47"/>
      <c r="LKN37" s="47"/>
      <c r="LKO37" s="47"/>
      <c r="LKP37" s="47"/>
      <c r="LKQ37" s="47"/>
      <c r="LKR37" s="47"/>
      <c r="LKS37" s="47"/>
      <c r="LKT37" s="47"/>
      <c r="LKU37" s="47"/>
      <c r="LKV37" s="47"/>
      <c r="LKW37" s="47"/>
      <c r="LKX37" s="47"/>
      <c r="LKY37" s="47"/>
      <c r="LKZ37" s="47"/>
      <c r="LLA37" s="47"/>
      <c r="LLB37" s="47"/>
      <c r="LLC37" s="47"/>
      <c r="LLD37" s="47"/>
      <c r="LLE37" s="47"/>
      <c r="LLF37" s="47"/>
      <c r="LLG37" s="47"/>
      <c r="LLH37" s="47"/>
      <c r="LLI37" s="47"/>
      <c r="LLJ37" s="47"/>
      <c r="LLK37" s="47"/>
      <c r="LLL37" s="47"/>
      <c r="LLM37" s="47"/>
      <c r="LLN37" s="47"/>
      <c r="LLO37" s="47"/>
      <c r="LLP37" s="47"/>
      <c r="LLQ37" s="47"/>
      <c r="LLR37" s="47"/>
      <c r="LLS37" s="47"/>
      <c r="LLT37" s="47"/>
      <c r="LLU37" s="47"/>
      <c r="LLV37" s="47"/>
      <c r="LLW37" s="47"/>
      <c r="LLX37" s="47"/>
      <c r="LLY37" s="47"/>
      <c r="LLZ37" s="47"/>
      <c r="LMA37" s="47"/>
      <c r="LMB37" s="47"/>
      <c r="LMC37" s="47"/>
      <c r="LMD37" s="47"/>
      <c r="LME37" s="47"/>
      <c r="LMF37" s="47"/>
      <c r="LMG37" s="47"/>
      <c r="LMH37" s="47"/>
      <c r="LMI37" s="47"/>
      <c r="LMJ37" s="47"/>
      <c r="LMK37" s="47"/>
      <c r="LML37" s="47"/>
      <c r="LMM37" s="47"/>
      <c r="LMN37" s="47"/>
      <c r="LMO37" s="47"/>
      <c r="LMP37" s="47"/>
      <c r="LMQ37" s="47"/>
      <c r="LMR37" s="47"/>
      <c r="LMS37" s="47"/>
      <c r="LMT37" s="47"/>
      <c r="LMU37" s="47"/>
      <c r="LMV37" s="47"/>
      <c r="LMW37" s="47"/>
      <c r="LMX37" s="47"/>
      <c r="LMY37" s="47"/>
      <c r="LMZ37" s="47"/>
      <c r="LNA37" s="47"/>
      <c r="LNB37" s="47"/>
      <c r="LNC37" s="47"/>
      <c r="LND37" s="47"/>
      <c r="LNE37" s="47"/>
      <c r="LNF37" s="47"/>
      <c r="LNG37" s="47"/>
      <c r="LNH37" s="47"/>
      <c r="LNI37" s="47"/>
      <c r="LNJ37" s="47"/>
      <c r="LNK37" s="47"/>
      <c r="LNL37" s="47"/>
      <c r="LNM37" s="47"/>
      <c r="LNN37" s="47"/>
      <c r="LNO37" s="47"/>
      <c r="LNP37" s="47"/>
      <c r="LNQ37" s="47"/>
      <c r="LNR37" s="47"/>
      <c r="LNS37" s="47"/>
      <c r="LNT37" s="47"/>
      <c r="LNU37" s="47"/>
      <c r="LNV37" s="47"/>
      <c r="LNW37" s="47"/>
      <c r="LNX37" s="47"/>
      <c r="LNY37" s="47"/>
      <c r="LNZ37" s="47"/>
      <c r="LOA37" s="47"/>
      <c r="LOB37" s="47"/>
      <c r="LOC37" s="47"/>
      <c r="LOD37" s="47"/>
      <c r="LOE37" s="47"/>
      <c r="LOF37" s="47"/>
      <c r="LOG37" s="47"/>
      <c r="LOH37" s="47"/>
      <c r="LOI37" s="47"/>
      <c r="LOJ37" s="47"/>
      <c r="LOK37" s="47"/>
      <c r="LOL37" s="47"/>
      <c r="LOM37" s="47"/>
      <c r="LON37" s="47"/>
      <c r="LOO37" s="47"/>
      <c r="LOP37" s="47"/>
      <c r="LOQ37" s="47"/>
      <c r="LOR37" s="47"/>
      <c r="LOS37" s="47"/>
      <c r="LOT37" s="47"/>
      <c r="LOU37" s="47"/>
      <c r="LOV37" s="47"/>
      <c r="LOW37" s="47"/>
      <c r="LOX37" s="47"/>
      <c r="LOY37" s="47"/>
      <c r="LOZ37" s="47"/>
      <c r="LPA37" s="47"/>
      <c r="LPB37" s="47"/>
      <c r="LPC37" s="47"/>
      <c r="LPD37" s="47"/>
      <c r="LPE37" s="47"/>
      <c r="LPF37" s="47"/>
      <c r="LPG37" s="47"/>
      <c r="LPH37" s="47"/>
      <c r="LPI37" s="47"/>
      <c r="LPJ37" s="47"/>
      <c r="LPK37" s="47"/>
      <c r="LPL37" s="47"/>
      <c r="LPM37" s="47"/>
      <c r="LPN37" s="47"/>
      <c r="LPO37" s="47"/>
      <c r="LPP37" s="47"/>
      <c r="LPQ37" s="47"/>
      <c r="LPR37" s="47"/>
      <c r="LPS37" s="47"/>
      <c r="LPT37" s="47"/>
      <c r="LPU37" s="47"/>
      <c r="LPV37" s="47"/>
      <c r="LPW37" s="47"/>
      <c r="LPX37" s="47"/>
      <c r="LPY37" s="47"/>
      <c r="LPZ37" s="47"/>
      <c r="LQA37" s="47"/>
      <c r="LQB37" s="47"/>
      <c r="LQC37" s="47"/>
      <c r="LQD37" s="47"/>
      <c r="LQE37" s="47"/>
      <c r="LQF37" s="47"/>
      <c r="LQG37" s="47"/>
      <c r="LQH37" s="47"/>
      <c r="LQI37" s="47"/>
      <c r="LQJ37" s="47"/>
      <c r="LQK37" s="47"/>
      <c r="LQL37" s="47"/>
      <c r="LQM37" s="47"/>
      <c r="LQN37" s="47"/>
      <c r="LQO37" s="47"/>
      <c r="LQP37" s="47"/>
      <c r="LQQ37" s="47"/>
      <c r="LQR37" s="47"/>
      <c r="LQS37" s="47"/>
      <c r="LQT37" s="47"/>
      <c r="LQU37" s="47"/>
      <c r="LQV37" s="47"/>
      <c r="LQW37" s="47"/>
      <c r="LQX37" s="47"/>
      <c r="LQY37" s="47"/>
      <c r="LQZ37" s="47"/>
      <c r="LRA37" s="47"/>
      <c r="LRB37" s="47"/>
      <c r="LRC37" s="47"/>
      <c r="LRD37" s="47"/>
      <c r="LRE37" s="47"/>
      <c r="LRF37" s="47"/>
      <c r="LRG37" s="47"/>
      <c r="LRH37" s="47"/>
      <c r="LRI37" s="47"/>
      <c r="LRJ37" s="47"/>
      <c r="LRK37" s="47"/>
      <c r="LRL37" s="47"/>
      <c r="LRM37" s="47"/>
      <c r="LRN37" s="47"/>
      <c r="LRO37" s="47"/>
      <c r="LRP37" s="47"/>
      <c r="LRQ37" s="47"/>
      <c r="LRR37" s="47"/>
      <c r="LRS37" s="47"/>
      <c r="LRT37" s="47"/>
      <c r="LRU37" s="47"/>
      <c r="LRV37" s="47"/>
      <c r="LRW37" s="47"/>
      <c r="LRX37" s="47"/>
      <c r="LRY37" s="47"/>
      <c r="LRZ37" s="47"/>
      <c r="LSA37" s="47"/>
      <c r="LSB37" s="47"/>
      <c r="LSC37" s="47"/>
      <c r="LSD37" s="47"/>
      <c r="LSE37" s="47"/>
      <c r="LSF37" s="47"/>
      <c r="LSG37" s="47"/>
      <c r="LSH37" s="47"/>
      <c r="LSI37" s="47"/>
      <c r="LSJ37" s="47"/>
      <c r="LSK37" s="47"/>
      <c r="LSL37" s="47"/>
      <c r="LSM37" s="47"/>
      <c r="LSN37" s="47"/>
      <c r="LSO37" s="47"/>
      <c r="LSP37" s="47"/>
      <c r="LSQ37" s="47"/>
      <c r="LSR37" s="47"/>
      <c r="LSS37" s="47"/>
      <c r="LST37" s="47"/>
      <c r="LSU37" s="47"/>
      <c r="LSV37" s="47"/>
      <c r="LSW37" s="47"/>
      <c r="LSX37" s="47"/>
      <c r="LSY37" s="47"/>
      <c r="LSZ37" s="47"/>
      <c r="LTA37" s="47"/>
      <c r="LTB37" s="47"/>
      <c r="LTC37" s="47"/>
      <c r="LTD37" s="47"/>
      <c r="LTE37" s="47"/>
      <c r="LTF37" s="47"/>
      <c r="LTG37" s="47"/>
      <c r="LTH37" s="47"/>
      <c r="LTI37" s="47"/>
      <c r="LTJ37" s="47"/>
      <c r="LTK37" s="47"/>
      <c r="LTL37" s="47"/>
      <c r="LTM37" s="47"/>
      <c r="LTN37" s="47"/>
      <c r="LTO37" s="47"/>
      <c r="LTP37" s="47"/>
      <c r="LTQ37" s="47"/>
      <c r="LTR37" s="47"/>
      <c r="LTS37" s="47"/>
      <c r="LTT37" s="47"/>
      <c r="LTU37" s="47"/>
      <c r="LTV37" s="47"/>
      <c r="LTW37" s="47"/>
      <c r="LTX37" s="47"/>
      <c r="LTY37" s="47"/>
      <c r="LTZ37" s="47"/>
      <c r="LUA37" s="47"/>
      <c r="LUB37" s="47"/>
      <c r="LUC37" s="47"/>
      <c r="LUD37" s="47"/>
      <c r="LUE37" s="47"/>
      <c r="LUF37" s="47"/>
      <c r="LUG37" s="47"/>
      <c r="LUH37" s="47"/>
      <c r="LUI37" s="47"/>
      <c r="LUJ37" s="47"/>
      <c r="LUK37" s="47"/>
      <c r="LUL37" s="47"/>
      <c r="LUM37" s="47"/>
      <c r="LUN37" s="47"/>
      <c r="LUO37" s="47"/>
      <c r="LUP37" s="47"/>
      <c r="LUQ37" s="47"/>
      <c r="LUR37" s="47"/>
      <c r="LUS37" s="47"/>
      <c r="LUT37" s="47"/>
      <c r="LUU37" s="47"/>
      <c r="LUV37" s="47"/>
      <c r="LUW37" s="47"/>
      <c r="LUX37" s="47"/>
      <c r="LUY37" s="47"/>
      <c r="LUZ37" s="47"/>
      <c r="LVA37" s="47"/>
      <c r="LVB37" s="47"/>
      <c r="LVC37" s="47"/>
      <c r="LVD37" s="47"/>
      <c r="LVE37" s="47"/>
      <c r="LVF37" s="47"/>
      <c r="LVG37" s="47"/>
      <c r="LVH37" s="47"/>
      <c r="LVI37" s="47"/>
      <c r="LVJ37" s="47"/>
      <c r="LVK37" s="47"/>
      <c r="LVL37" s="47"/>
      <c r="LVM37" s="47"/>
      <c r="LVN37" s="47"/>
      <c r="LVO37" s="47"/>
      <c r="LVP37" s="47"/>
      <c r="LVQ37" s="47"/>
      <c r="LVR37" s="47"/>
      <c r="LVS37" s="47"/>
      <c r="LVT37" s="47"/>
      <c r="LVU37" s="47"/>
      <c r="LVV37" s="47"/>
      <c r="LVW37" s="47"/>
      <c r="LVX37" s="47"/>
      <c r="LVY37" s="47"/>
      <c r="LVZ37" s="47"/>
      <c r="LWA37" s="47"/>
      <c r="LWB37" s="47"/>
      <c r="LWC37" s="47"/>
      <c r="LWD37" s="47"/>
      <c r="LWE37" s="47"/>
      <c r="LWF37" s="47"/>
      <c r="LWG37" s="47"/>
      <c r="LWH37" s="47"/>
      <c r="LWI37" s="47"/>
      <c r="LWJ37" s="47"/>
      <c r="LWK37" s="47"/>
      <c r="LWL37" s="47"/>
      <c r="LWM37" s="47"/>
      <c r="LWN37" s="47"/>
      <c r="LWO37" s="47"/>
      <c r="LWP37" s="47"/>
      <c r="LWQ37" s="47"/>
      <c r="LWR37" s="47"/>
      <c r="LWS37" s="47"/>
      <c r="LWT37" s="47"/>
      <c r="LWU37" s="47"/>
      <c r="LWV37" s="47"/>
      <c r="LWW37" s="47"/>
      <c r="LWX37" s="47"/>
      <c r="LWY37" s="47"/>
      <c r="LWZ37" s="47"/>
      <c r="LXA37" s="47"/>
      <c r="LXB37" s="47"/>
      <c r="LXC37" s="47"/>
      <c r="LXD37" s="47"/>
      <c r="LXE37" s="47"/>
      <c r="LXF37" s="47"/>
      <c r="LXG37" s="47"/>
      <c r="LXH37" s="47"/>
      <c r="LXI37" s="47"/>
      <c r="LXJ37" s="47"/>
      <c r="LXK37" s="47"/>
      <c r="LXL37" s="47"/>
      <c r="LXM37" s="47"/>
      <c r="LXN37" s="47"/>
      <c r="LXO37" s="47"/>
      <c r="LXP37" s="47"/>
      <c r="LXQ37" s="47"/>
      <c r="LXR37" s="47"/>
      <c r="LXS37" s="47"/>
      <c r="LXT37" s="47"/>
      <c r="LXU37" s="47"/>
      <c r="LXV37" s="47"/>
      <c r="LXW37" s="47"/>
      <c r="LXX37" s="47"/>
      <c r="LXY37" s="47"/>
      <c r="LXZ37" s="47"/>
      <c r="LYA37" s="47"/>
      <c r="LYB37" s="47"/>
      <c r="LYC37" s="47"/>
      <c r="LYD37" s="47"/>
      <c r="LYE37" s="47"/>
      <c r="LYF37" s="47"/>
      <c r="LYG37" s="47"/>
      <c r="LYH37" s="47"/>
      <c r="LYI37" s="47"/>
      <c r="LYJ37" s="47"/>
      <c r="LYK37" s="47"/>
      <c r="LYL37" s="47"/>
      <c r="LYM37" s="47"/>
      <c r="LYN37" s="47"/>
      <c r="LYO37" s="47"/>
      <c r="LYP37" s="47"/>
      <c r="LYQ37" s="47"/>
      <c r="LYR37" s="47"/>
      <c r="LYS37" s="47"/>
      <c r="LYT37" s="47"/>
      <c r="LYU37" s="47"/>
      <c r="LYV37" s="47"/>
      <c r="LYW37" s="47"/>
      <c r="LYX37" s="47"/>
      <c r="LYY37" s="47"/>
      <c r="LYZ37" s="47"/>
      <c r="LZA37" s="47"/>
      <c r="LZB37" s="47"/>
      <c r="LZC37" s="47"/>
      <c r="LZD37" s="47"/>
      <c r="LZE37" s="47"/>
      <c r="LZF37" s="47"/>
      <c r="LZG37" s="47"/>
      <c r="LZH37" s="47"/>
      <c r="LZI37" s="47"/>
      <c r="LZJ37" s="47"/>
      <c r="LZK37" s="47"/>
      <c r="LZL37" s="47"/>
      <c r="LZM37" s="47"/>
      <c r="LZN37" s="47"/>
      <c r="LZO37" s="47"/>
      <c r="LZP37" s="47"/>
      <c r="LZQ37" s="47"/>
      <c r="LZR37" s="47"/>
      <c r="LZS37" s="47"/>
      <c r="LZT37" s="47"/>
      <c r="LZU37" s="47"/>
      <c r="LZV37" s="47"/>
      <c r="LZW37" s="47"/>
      <c r="LZX37" s="47"/>
      <c r="LZY37" s="47"/>
      <c r="LZZ37" s="47"/>
      <c r="MAA37" s="47"/>
      <c r="MAB37" s="47"/>
      <c r="MAC37" s="47"/>
      <c r="MAD37" s="47"/>
      <c r="MAE37" s="47"/>
      <c r="MAF37" s="47"/>
      <c r="MAG37" s="47"/>
      <c r="MAH37" s="47"/>
      <c r="MAI37" s="47"/>
      <c r="MAJ37" s="47"/>
      <c r="MAK37" s="47"/>
      <c r="MAL37" s="47"/>
      <c r="MAM37" s="47"/>
      <c r="MAN37" s="47"/>
      <c r="MAO37" s="47"/>
      <c r="MAP37" s="47"/>
      <c r="MAQ37" s="47"/>
      <c r="MAR37" s="47"/>
      <c r="MAS37" s="47"/>
      <c r="MAT37" s="47"/>
      <c r="MAU37" s="47"/>
      <c r="MAV37" s="47"/>
      <c r="MAW37" s="47"/>
      <c r="MAX37" s="47"/>
      <c r="MAY37" s="47"/>
      <c r="MAZ37" s="47"/>
      <c r="MBA37" s="47"/>
      <c r="MBB37" s="47"/>
      <c r="MBC37" s="47"/>
      <c r="MBD37" s="47"/>
      <c r="MBE37" s="47"/>
      <c r="MBF37" s="47"/>
      <c r="MBG37" s="47"/>
      <c r="MBH37" s="47"/>
      <c r="MBI37" s="47"/>
      <c r="MBJ37" s="47"/>
      <c r="MBK37" s="47"/>
      <c r="MBL37" s="47"/>
      <c r="MBM37" s="47"/>
      <c r="MBN37" s="47"/>
      <c r="MBO37" s="47"/>
      <c r="MBP37" s="47"/>
      <c r="MBQ37" s="47"/>
      <c r="MBR37" s="47"/>
      <c r="MBS37" s="47"/>
      <c r="MBT37" s="47"/>
      <c r="MBU37" s="47"/>
      <c r="MBV37" s="47"/>
      <c r="MBW37" s="47"/>
      <c r="MBX37" s="47"/>
      <c r="MBY37" s="47"/>
      <c r="MBZ37" s="47"/>
      <c r="MCA37" s="47"/>
      <c r="MCB37" s="47"/>
      <c r="MCC37" s="47"/>
      <c r="MCD37" s="47"/>
      <c r="MCE37" s="47"/>
      <c r="MCF37" s="47"/>
      <c r="MCG37" s="47"/>
      <c r="MCH37" s="47"/>
      <c r="MCI37" s="47"/>
      <c r="MCJ37" s="47"/>
      <c r="MCK37" s="47"/>
      <c r="MCL37" s="47"/>
      <c r="MCM37" s="47"/>
      <c r="MCN37" s="47"/>
      <c r="MCO37" s="47"/>
      <c r="MCP37" s="47"/>
      <c r="MCQ37" s="47"/>
      <c r="MCR37" s="47"/>
      <c r="MCS37" s="47"/>
      <c r="MCT37" s="47"/>
      <c r="MCU37" s="47"/>
      <c r="MCV37" s="47"/>
      <c r="MCW37" s="47"/>
      <c r="MCX37" s="47"/>
      <c r="MCY37" s="47"/>
      <c r="MCZ37" s="47"/>
      <c r="MDA37" s="47"/>
      <c r="MDB37" s="47"/>
      <c r="MDC37" s="47"/>
      <c r="MDD37" s="47"/>
      <c r="MDE37" s="47"/>
      <c r="MDF37" s="47"/>
      <c r="MDG37" s="47"/>
      <c r="MDH37" s="47"/>
      <c r="MDI37" s="47"/>
      <c r="MDJ37" s="47"/>
      <c r="MDK37" s="47"/>
      <c r="MDL37" s="47"/>
      <c r="MDM37" s="47"/>
      <c r="MDN37" s="47"/>
      <c r="MDO37" s="47"/>
      <c r="MDP37" s="47"/>
      <c r="MDQ37" s="47"/>
      <c r="MDR37" s="47"/>
      <c r="MDS37" s="47"/>
      <c r="MDT37" s="47"/>
      <c r="MDU37" s="47"/>
      <c r="MDV37" s="47"/>
      <c r="MDW37" s="47"/>
      <c r="MDX37" s="47"/>
      <c r="MDY37" s="47"/>
      <c r="MDZ37" s="47"/>
      <c r="MEA37" s="47"/>
      <c r="MEB37" s="47"/>
      <c r="MEC37" s="47"/>
      <c r="MED37" s="47"/>
      <c r="MEE37" s="47"/>
      <c r="MEF37" s="47"/>
      <c r="MEG37" s="47"/>
      <c r="MEH37" s="47"/>
      <c r="MEI37" s="47"/>
      <c r="MEJ37" s="47"/>
      <c r="MEK37" s="47"/>
      <c r="MEL37" s="47"/>
      <c r="MEM37" s="47"/>
      <c r="MEN37" s="47"/>
      <c r="MEO37" s="47"/>
      <c r="MEP37" s="47"/>
      <c r="MEQ37" s="47"/>
      <c r="MER37" s="47"/>
      <c r="MES37" s="47"/>
      <c r="MET37" s="47"/>
      <c r="MEU37" s="47"/>
      <c r="MEV37" s="47"/>
      <c r="MEW37" s="47"/>
      <c r="MEX37" s="47"/>
      <c r="MEY37" s="47"/>
      <c r="MEZ37" s="47"/>
      <c r="MFA37" s="47"/>
      <c r="MFB37" s="47"/>
      <c r="MFC37" s="47"/>
      <c r="MFD37" s="47"/>
      <c r="MFE37" s="47"/>
      <c r="MFF37" s="47"/>
      <c r="MFG37" s="47"/>
      <c r="MFH37" s="47"/>
      <c r="MFI37" s="47"/>
      <c r="MFJ37" s="47"/>
      <c r="MFK37" s="47"/>
      <c r="MFL37" s="47"/>
      <c r="MFM37" s="47"/>
      <c r="MFN37" s="47"/>
      <c r="MFO37" s="47"/>
      <c r="MFP37" s="47"/>
      <c r="MFQ37" s="47"/>
      <c r="MFR37" s="47"/>
      <c r="MFS37" s="47"/>
      <c r="MFT37" s="47"/>
      <c r="MFU37" s="47"/>
      <c r="MFV37" s="47"/>
      <c r="MFW37" s="47"/>
      <c r="MFX37" s="47"/>
      <c r="MFY37" s="47"/>
      <c r="MFZ37" s="47"/>
      <c r="MGA37" s="47"/>
      <c r="MGB37" s="47"/>
      <c r="MGC37" s="47"/>
      <c r="MGD37" s="47"/>
      <c r="MGE37" s="47"/>
      <c r="MGF37" s="47"/>
      <c r="MGG37" s="47"/>
      <c r="MGH37" s="47"/>
      <c r="MGI37" s="47"/>
      <c r="MGJ37" s="47"/>
      <c r="MGK37" s="47"/>
      <c r="MGL37" s="47"/>
      <c r="MGM37" s="47"/>
      <c r="MGN37" s="47"/>
      <c r="MGO37" s="47"/>
      <c r="MGP37" s="47"/>
      <c r="MGQ37" s="47"/>
      <c r="MGR37" s="47"/>
      <c r="MGS37" s="47"/>
      <c r="MGT37" s="47"/>
      <c r="MGU37" s="47"/>
      <c r="MGV37" s="47"/>
      <c r="MGW37" s="47"/>
      <c r="MGX37" s="47"/>
      <c r="MGY37" s="47"/>
      <c r="MGZ37" s="47"/>
      <c r="MHA37" s="47"/>
      <c r="MHB37" s="47"/>
      <c r="MHC37" s="47"/>
      <c r="MHD37" s="47"/>
      <c r="MHE37" s="47"/>
      <c r="MHF37" s="47"/>
      <c r="MHG37" s="47"/>
      <c r="MHH37" s="47"/>
      <c r="MHI37" s="47"/>
      <c r="MHJ37" s="47"/>
      <c r="MHK37" s="47"/>
      <c r="MHL37" s="47"/>
      <c r="MHM37" s="47"/>
      <c r="MHN37" s="47"/>
      <c r="MHO37" s="47"/>
      <c r="MHP37" s="47"/>
      <c r="MHQ37" s="47"/>
      <c r="MHR37" s="47"/>
      <c r="MHS37" s="47"/>
      <c r="MHT37" s="47"/>
      <c r="MHU37" s="47"/>
      <c r="MHV37" s="47"/>
      <c r="MHW37" s="47"/>
      <c r="MHX37" s="47"/>
      <c r="MHY37" s="47"/>
      <c r="MHZ37" s="47"/>
      <c r="MIA37" s="47"/>
      <c r="MIB37" s="47"/>
      <c r="MIC37" s="47"/>
      <c r="MID37" s="47"/>
      <c r="MIE37" s="47"/>
      <c r="MIF37" s="47"/>
      <c r="MIG37" s="47"/>
      <c r="MIH37" s="47"/>
      <c r="MII37" s="47"/>
      <c r="MIJ37" s="47"/>
      <c r="MIK37" s="47"/>
      <c r="MIL37" s="47"/>
      <c r="MIM37" s="47"/>
      <c r="MIN37" s="47"/>
      <c r="MIO37" s="47"/>
      <c r="MIP37" s="47"/>
      <c r="MIQ37" s="47"/>
      <c r="MIR37" s="47"/>
      <c r="MIS37" s="47"/>
      <c r="MIT37" s="47"/>
      <c r="MIU37" s="47"/>
      <c r="MIV37" s="47"/>
      <c r="MIW37" s="47"/>
      <c r="MIX37" s="47"/>
      <c r="MIY37" s="47"/>
      <c r="MIZ37" s="47"/>
      <c r="MJA37" s="47"/>
      <c r="MJB37" s="47"/>
      <c r="MJC37" s="47"/>
      <c r="MJD37" s="47"/>
      <c r="MJE37" s="47"/>
      <c r="MJF37" s="47"/>
      <c r="MJG37" s="47"/>
      <c r="MJH37" s="47"/>
      <c r="MJI37" s="47"/>
      <c r="MJJ37" s="47"/>
      <c r="MJK37" s="47"/>
      <c r="MJL37" s="47"/>
      <c r="MJM37" s="47"/>
      <c r="MJN37" s="47"/>
      <c r="MJO37" s="47"/>
      <c r="MJP37" s="47"/>
      <c r="MJQ37" s="47"/>
      <c r="MJR37" s="47"/>
      <c r="MJS37" s="47"/>
      <c r="MJT37" s="47"/>
      <c r="MJU37" s="47"/>
      <c r="MJV37" s="47"/>
      <c r="MJW37" s="47"/>
      <c r="MJX37" s="47"/>
      <c r="MJY37" s="47"/>
      <c r="MJZ37" s="47"/>
      <c r="MKA37" s="47"/>
      <c r="MKB37" s="47"/>
      <c r="MKC37" s="47"/>
      <c r="MKD37" s="47"/>
      <c r="MKE37" s="47"/>
      <c r="MKF37" s="47"/>
      <c r="MKG37" s="47"/>
      <c r="MKH37" s="47"/>
      <c r="MKI37" s="47"/>
      <c r="MKJ37" s="47"/>
      <c r="MKK37" s="47"/>
      <c r="MKL37" s="47"/>
      <c r="MKM37" s="47"/>
      <c r="MKN37" s="47"/>
      <c r="MKO37" s="47"/>
      <c r="MKP37" s="47"/>
      <c r="MKQ37" s="47"/>
      <c r="MKR37" s="47"/>
      <c r="MKS37" s="47"/>
      <c r="MKT37" s="47"/>
      <c r="MKU37" s="47"/>
      <c r="MKV37" s="47"/>
      <c r="MKW37" s="47"/>
      <c r="MKX37" s="47"/>
      <c r="MKY37" s="47"/>
      <c r="MKZ37" s="47"/>
      <c r="MLA37" s="47"/>
      <c r="MLB37" s="47"/>
      <c r="MLC37" s="47"/>
      <c r="MLD37" s="47"/>
      <c r="MLE37" s="47"/>
      <c r="MLF37" s="47"/>
      <c r="MLG37" s="47"/>
      <c r="MLH37" s="47"/>
      <c r="MLI37" s="47"/>
      <c r="MLJ37" s="47"/>
      <c r="MLK37" s="47"/>
      <c r="MLL37" s="47"/>
      <c r="MLM37" s="47"/>
      <c r="MLN37" s="47"/>
      <c r="MLO37" s="47"/>
      <c r="MLP37" s="47"/>
      <c r="MLQ37" s="47"/>
      <c r="MLR37" s="47"/>
      <c r="MLS37" s="47"/>
      <c r="MLT37" s="47"/>
      <c r="MLU37" s="47"/>
      <c r="MLV37" s="47"/>
      <c r="MLW37" s="47"/>
      <c r="MLX37" s="47"/>
      <c r="MLY37" s="47"/>
      <c r="MLZ37" s="47"/>
      <c r="MMA37" s="47"/>
      <c r="MMB37" s="47"/>
      <c r="MMC37" s="47"/>
      <c r="MMD37" s="47"/>
      <c r="MME37" s="47"/>
      <c r="MMF37" s="47"/>
      <c r="MMG37" s="47"/>
      <c r="MMH37" s="47"/>
      <c r="MMI37" s="47"/>
      <c r="MMJ37" s="47"/>
      <c r="MMK37" s="47"/>
      <c r="MML37" s="47"/>
      <c r="MMM37" s="47"/>
      <c r="MMN37" s="47"/>
      <c r="MMO37" s="47"/>
      <c r="MMP37" s="47"/>
      <c r="MMQ37" s="47"/>
      <c r="MMR37" s="47"/>
      <c r="MMS37" s="47"/>
      <c r="MMT37" s="47"/>
      <c r="MMU37" s="47"/>
      <c r="MMV37" s="47"/>
      <c r="MMW37" s="47"/>
      <c r="MMX37" s="47"/>
      <c r="MMY37" s="47"/>
      <c r="MMZ37" s="47"/>
      <c r="MNA37" s="47"/>
      <c r="MNB37" s="47"/>
      <c r="MNC37" s="47"/>
      <c r="MND37" s="47"/>
      <c r="MNE37" s="47"/>
      <c r="MNF37" s="47"/>
      <c r="MNG37" s="47"/>
      <c r="MNH37" s="47"/>
      <c r="MNI37" s="47"/>
      <c r="MNJ37" s="47"/>
      <c r="MNK37" s="47"/>
      <c r="MNL37" s="47"/>
      <c r="MNM37" s="47"/>
      <c r="MNN37" s="47"/>
      <c r="MNO37" s="47"/>
      <c r="MNP37" s="47"/>
      <c r="MNQ37" s="47"/>
      <c r="MNR37" s="47"/>
      <c r="MNS37" s="47"/>
      <c r="MNT37" s="47"/>
      <c r="MNU37" s="47"/>
      <c r="MNV37" s="47"/>
      <c r="MNW37" s="47"/>
      <c r="MNX37" s="47"/>
      <c r="MNY37" s="47"/>
      <c r="MNZ37" s="47"/>
      <c r="MOA37" s="47"/>
      <c r="MOB37" s="47"/>
      <c r="MOC37" s="47"/>
      <c r="MOD37" s="47"/>
      <c r="MOE37" s="47"/>
      <c r="MOF37" s="47"/>
      <c r="MOG37" s="47"/>
      <c r="MOH37" s="47"/>
      <c r="MOI37" s="47"/>
      <c r="MOJ37" s="47"/>
      <c r="MOK37" s="47"/>
      <c r="MOL37" s="47"/>
      <c r="MOM37" s="47"/>
      <c r="MON37" s="47"/>
      <c r="MOO37" s="47"/>
      <c r="MOP37" s="47"/>
      <c r="MOQ37" s="47"/>
      <c r="MOR37" s="47"/>
      <c r="MOS37" s="47"/>
      <c r="MOT37" s="47"/>
      <c r="MOU37" s="47"/>
      <c r="MOV37" s="47"/>
      <c r="MOW37" s="47"/>
      <c r="MOX37" s="47"/>
      <c r="MOY37" s="47"/>
      <c r="MOZ37" s="47"/>
      <c r="MPA37" s="47"/>
      <c r="MPB37" s="47"/>
      <c r="MPC37" s="47"/>
      <c r="MPD37" s="47"/>
      <c r="MPE37" s="47"/>
      <c r="MPF37" s="47"/>
      <c r="MPG37" s="47"/>
      <c r="MPH37" s="47"/>
      <c r="MPI37" s="47"/>
      <c r="MPJ37" s="47"/>
      <c r="MPK37" s="47"/>
      <c r="MPL37" s="47"/>
      <c r="MPM37" s="47"/>
      <c r="MPN37" s="47"/>
      <c r="MPO37" s="47"/>
      <c r="MPP37" s="47"/>
      <c r="MPQ37" s="47"/>
      <c r="MPR37" s="47"/>
      <c r="MPS37" s="47"/>
      <c r="MPT37" s="47"/>
      <c r="MPU37" s="47"/>
      <c r="MPV37" s="47"/>
      <c r="MPW37" s="47"/>
      <c r="MPX37" s="47"/>
      <c r="MPY37" s="47"/>
      <c r="MPZ37" s="47"/>
      <c r="MQA37" s="47"/>
      <c r="MQB37" s="47"/>
      <c r="MQC37" s="47"/>
      <c r="MQD37" s="47"/>
      <c r="MQE37" s="47"/>
      <c r="MQF37" s="47"/>
      <c r="MQG37" s="47"/>
      <c r="MQH37" s="47"/>
      <c r="MQI37" s="47"/>
      <c r="MQJ37" s="47"/>
      <c r="MQK37" s="47"/>
      <c r="MQL37" s="47"/>
      <c r="MQM37" s="47"/>
      <c r="MQN37" s="47"/>
      <c r="MQO37" s="47"/>
      <c r="MQP37" s="47"/>
      <c r="MQQ37" s="47"/>
      <c r="MQR37" s="47"/>
      <c r="MQS37" s="47"/>
      <c r="MQT37" s="47"/>
      <c r="MQU37" s="47"/>
      <c r="MQV37" s="47"/>
      <c r="MQW37" s="47"/>
      <c r="MQX37" s="47"/>
      <c r="MQY37" s="47"/>
      <c r="MQZ37" s="47"/>
      <c r="MRA37" s="47"/>
      <c r="MRB37" s="47"/>
      <c r="MRC37" s="47"/>
      <c r="MRD37" s="47"/>
      <c r="MRE37" s="47"/>
      <c r="MRF37" s="47"/>
      <c r="MRG37" s="47"/>
      <c r="MRH37" s="47"/>
      <c r="MRI37" s="47"/>
      <c r="MRJ37" s="47"/>
      <c r="MRK37" s="47"/>
      <c r="MRL37" s="47"/>
      <c r="MRM37" s="47"/>
      <c r="MRN37" s="47"/>
      <c r="MRO37" s="47"/>
      <c r="MRP37" s="47"/>
      <c r="MRQ37" s="47"/>
      <c r="MRR37" s="47"/>
      <c r="MRS37" s="47"/>
      <c r="MRT37" s="47"/>
      <c r="MRU37" s="47"/>
      <c r="MRV37" s="47"/>
      <c r="MRW37" s="47"/>
      <c r="MRX37" s="47"/>
      <c r="MRY37" s="47"/>
      <c r="MRZ37" s="47"/>
      <c r="MSA37" s="47"/>
      <c r="MSB37" s="47"/>
      <c r="MSC37" s="47"/>
      <c r="MSD37" s="47"/>
      <c r="MSE37" s="47"/>
      <c r="MSF37" s="47"/>
      <c r="MSG37" s="47"/>
      <c r="MSH37" s="47"/>
      <c r="MSI37" s="47"/>
      <c r="MSJ37" s="47"/>
      <c r="MSK37" s="47"/>
      <c r="MSL37" s="47"/>
      <c r="MSM37" s="47"/>
      <c r="MSN37" s="47"/>
      <c r="MSO37" s="47"/>
      <c r="MSP37" s="47"/>
      <c r="MSQ37" s="47"/>
      <c r="MSR37" s="47"/>
      <c r="MSS37" s="47"/>
      <c r="MST37" s="47"/>
      <c r="MSU37" s="47"/>
      <c r="MSV37" s="47"/>
      <c r="MSW37" s="47"/>
      <c r="MSX37" s="47"/>
      <c r="MSY37" s="47"/>
      <c r="MSZ37" s="47"/>
      <c r="MTA37" s="47"/>
      <c r="MTB37" s="47"/>
      <c r="MTC37" s="47"/>
      <c r="MTD37" s="47"/>
      <c r="MTE37" s="47"/>
      <c r="MTF37" s="47"/>
      <c r="MTG37" s="47"/>
      <c r="MTH37" s="47"/>
      <c r="MTI37" s="47"/>
      <c r="MTJ37" s="47"/>
      <c r="MTK37" s="47"/>
      <c r="MTL37" s="47"/>
      <c r="MTM37" s="47"/>
      <c r="MTN37" s="47"/>
      <c r="MTO37" s="47"/>
      <c r="MTP37" s="47"/>
      <c r="MTQ37" s="47"/>
      <c r="MTR37" s="47"/>
      <c r="MTS37" s="47"/>
      <c r="MTT37" s="47"/>
      <c r="MTU37" s="47"/>
      <c r="MTV37" s="47"/>
      <c r="MTW37" s="47"/>
      <c r="MTX37" s="47"/>
      <c r="MTY37" s="47"/>
      <c r="MTZ37" s="47"/>
      <c r="MUA37" s="47"/>
      <c r="MUB37" s="47"/>
      <c r="MUC37" s="47"/>
      <c r="MUD37" s="47"/>
      <c r="MUE37" s="47"/>
      <c r="MUF37" s="47"/>
      <c r="MUG37" s="47"/>
      <c r="MUH37" s="47"/>
      <c r="MUI37" s="47"/>
      <c r="MUJ37" s="47"/>
      <c r="MUK37" s="47"/>
      <c r="MUL37" s="47"/>
      <c r="MUM37" s="47"/>
      <c r="MUN37" s="47"/>
      <c r="MUO37" s="47"/>
      <c r="MUP37" s="47"/>
      <c r="MUQ37" s="47"/>
      <c r="MUR37" s="47"/>
      <c r="MUS37" s="47"/>
      <c r="MUT37" s="47"/>
      <c r="MUU37" s="47"/>
      <c r="MUV37" s="47"/>
      <c r="MUW37" s="47"/>
      <c r="MUX37" s="47"/>
      <c r="MUY37" s="47"/>
      <c r="MUZ37" s="47"/>
      <c r="MVA37" s="47"/>
      <c r="MVB37" s="47"/>
      <c r="MVC37" s="47"/>
      <c r="MVD37" s="47"/>
      <c r="MVE37" s="47"/>
      <c r="MVF37" s="47"/>
      <c r="MVG37" s="47"/>
      <c r="MVH37" s="47"/>
      <c r="MVI37" s="47"/>
      <c r="MVJ37" s="47"/>
      <c r="MVK37" s="47"/>
      <c r="MVL37" s="47"/>
      <c r="MVM37" s="47"/>
      <c r="MVN37" s="47"/>
      <c r="MVO37" s="47"/>
      <c r="MVP37" s="47"/>
      <c r="MVQ37" s="47"/>
      <c r="MVR37" s="47"/>
      <c r="MVS37" s="47"/>
      <c r="MVT37" s="47"/>
      <c r="MVU37" s="47"/>
      <c r="MVV37" s="47"/>
      <c r="MVW37" s="47"/>
      <c r="MVX37" s="47"/>
      <c r="MVY37" s="47"/>
      <c r="MVZ37" s="47"/>
      <c r="MWA37" s="47"/>
      <c r="MWB37" s="47"/>
      <c r="MWC37" s="47"/>
      <c r="MWD37" s="47"/>
      <c r="MWE37" s="47"/>
      <c r="MWF37" s="47"/>
      <c r="MWG37" s="47"/>
      <c r="MWH37" s="47"/>
      <c r="MWI37" s="47"/>
      <c r="MWJ37" s="47"/>
      <c r="MWK37" s="47"/>
      <c r="MWL37" s="47"/>
      <c r="MWM37" s="47"/>
      <c r="MWN37" s="47"/>
      <c r="MWO37" s="47"/>
      <c r="MWP37" s="47"/>
      <c r="MWQ37" s="47"/>
      <c r="MWR37" s="47"/>
      <c r="MWS37" s="47"/>
      <c r="MWT37" s="47"/>
      <c r="MWU37" s="47"/>
      <c r="MWV37" s="47"/>
      <c r="MWW37" s="47"/>
      <c r="MWX37" s="47"/>
      <c r="MWY37" s="47"/>
      <c r="MWZ37" s="47"/>
      <c r="MXA37" s="47"/>
      <c r="MXB37" s="47"/>
      <c r="MXC37" s="47"/>
      <c r="MXD37" s="47"/>
      <c r="MXE37" s="47"/>
      <c r="MXF37" s="47"/>
      <c r="MXG37" s="47"/>
      <c r="MXH37" s="47"/>
      <c r="MXI37" s="47"/>
      <c r="MXJ37" s="47"/>
      <c r="MXK37" s="47"/>
      <c r="MXL37" s="47"/>
      <c r="MXM37" s="47"/>
      <c r="MXN37" s="47"/>
      <c r="MXO37" s="47"/>
      <c r="MXP37" s="47"/>
      <c r="MXQ37" s="47"/>
      <c r="MXR37" s="47"/>
      <c r="MXS37" s="47"/>
      <c r="MXT37" s="47"/>
      <c r="MXU37" s="47"/>
      <c r="MXV37" s="47"/>
      <c r="MXW37" s="47"/>
      <c r="MXX37" s="47"/>
      <c r="MXY37" s="47"/>
      <c r="MXZ37" s="47"/>
      <c r="MYA37" s="47"/>
      <c r="MYB37" s="47"/>
      <c r="MYC37" s="47"/>
      <c r="MYD37" s="47"/>
      <c r="MYE37" s="47"/>
      <c r="MYF37" s="47"/>
      <c r="MYG37" s="47"/>
      <c r="MYH37" s="47"/>
      <c r="MYI37" s="47"/>
      <c r="MYJ37" s="47"/>
      <c r="MYK37" s="47"/>
      <c r="MYL37" s="47"/>
      <c r="MYM37" s="47"/>
      <c r="MYN37" s="47"/>
      <c r="MYO37" s="47"/>
      <c r="MYP37" s="47"/>
      <c r="MYQ37" s="47"/>
      <c r="MYR37" s="47"/>
      <c r="MYS37" s="47"/>
      <c r="MYT37" s="47"/>
      <c r="MYU37" s="47"/>
      <c r="MYV37" s="47"/>
      <c r="MYW37" s="47"/>
      <c r="MYX37" s="47"/>
      <c r="MYY37" s="47"/>
      <c r="MYZ37" s="47"/>
      <c r="MZA37" s="47"/>
      <c r="MZB37" s="47"/>
      <c r="MZC37" s="47"/>
      <c r="MZD37" s="47"/>
      <c r="MZE37" s="47"/>
      <c r="MZF37" s="47"/>
      <c r="MZG37" s="47"/>
      <c r="MZH37" s="47"/>
      <c r="MZI37" s="47"/>
      <c r="MZJ37" s="47"/>
      <c r="MZK37" s="47"/>
      <c r="MZL37" s="47"/>
      <c r="MZM37" s="47"/>
      <c r="MZN37" s="47"/>
      <c r="MZO37" s="47"/>
      <c r="MZP37" s="47"/>
      <c r="MZQ37" s="47"/>
      <c r="MZR37" s="47"/>
      <c r="MZS37" s="47"/>
      <c r="MZT37" s="47"/>
      <c r="MZU37" s="47"/>
      <c r="MZV37" s="47"/>
      <c r="MZW37" s="47"/>
      <c r="MZX37" s="47"/>
      <c r="MZY37" s="47"/>
      <c r="MZZ37" s="47"/>
      <c r="NAA37" s="47"/>
      <c r="NAB37" s="47"/>
      <c r="NAC37" s="47"/>
      <c r="NAD37" s="47"/>
      <c r="NAE37" s="47"/>
      <c r="NAF37" s="47"/>
      <c r="NAG37" s="47"/>
      <c r="NAH37" s="47"/>
      <c r="NAI37" s="47"/>
      <c r="NAJ37" s="47"/>
      <c r="NAK37" s="47"/>
      <c r="NAL37" s="47"/>
      <c r="NAM37" s="47"/>
      <c r="NAN37" s="47"/>
      <c r="NAO37" s="47"/>
      <c r="NAP37" s="47"/>
      <c r="NAQ37" s="47"/>
      <c r="NAR37" s="47"/>
      <c r="NAS37" s="47"/>
      <c r="NAT37" s="47"/>
      <c r="NAU37" s="47"/>
      <c r="NAV37" s="47"/>
      <c r="NAW37" s="47"/>
      <c r="NAX37" s="47"/>
      <c r="NAY37" s="47"/>
      <c r="NAZ37" s="47"/>
      <c r="NBA37" s="47"/>
      <c r="NBB37" s="47"/>
      <c r="NBC37" s="47"/>
      <c r="NBD37" s="47"/>
      <c r="NBE37" s="47"/>
      <c r="NBF37" s="47"/>
      <c r="NBG37" s="47"/>
      <c r="NBH37" s="47"/>
      <c r="NBI37" s="47"/>
      <c r="NBJ37" s="47"/>
      <c r="NBK37" s="47"/>
      <c r="NBL37" s="47"/>
      <c r="NBM37" s="47"/>
      <c r="NBN37" s="47"/>
      <c r="NBO37" s="47"/>
      <c r="NBP37" s="47"/>
      <c r="NBQ37" s="47"/>
      <c r="NBR37" s="47"/>
      <c r="NBS37" s="47"/>
      <c r="NBT37" s="47"/>
      <c r="NBU37" s="47"/>
      <c r="NBV37" s="47"/>
      <c r="NBW37" s="47"/>
      <c r="NBX37" s="47"/>
      <c r="NBY37" s="47"/>
      <c r="NBZ37" s="47"/>
      <c r="NCA37" s="47"/>
      <c r="NCB37" s="47"/>
      <c r="NCC37" s="47"/>
      <c r="NCD37" s="47"/>
      <c r="NCE37" s="47"/>
      <c r="NCF37" s="47"/>
      <c r="NCG37" s="47"/>
      <c r="NCH37" s="47"/>
      <c r="NCI37" s="47"/>
      <c r="NCJ37" s="47"/>
      <c r="NCK37" s="47"/>
      <c r="NCL37" s="47"/>
      <c r="NCM37" s="47"/>
      <c r="NCN37" s="47"/>
      <c r="NCO37" s="47"/>
      <c r="NCP37" s="47"/>
      <c r="NCQ37" s="47"/>
      <c r="NCR37" s="47"/>
      <c r="NCS37" s="47"/>
      <c r="NCT37" s="47"/>
      <c r="NCU37" s="47"/>
      <c r="NCV37" s="47"/>
      <c r="NCW37" s="47"/>
      <c r="NCX37" s="47"/>
      <c r="NCY37" s="47"/>
      <c r="NCZ37" s="47"/>
      <c r="NDA37" s="47"/>
      <c r="NDB37" s="47"/>
      <c r="NDC37" s="47"/>
      <c r="NDD37" s="47"/>
      <c r="NDE37" s="47"/>
      <c r="NDF37" s="47"/>
      <c r="NDG37" s="47"/>
      <c r="NDH37" s="47"/>
      <c r="NDI37" s="47"/>
      <c r="NDJ37" s="47"/>
      <c r="NDK37" s="47"/>
      <c r="NDL37" s="47"/>
      <c r="NDM37" s="47"/>
      <c r="NDN37" s="47"/>
      <c r="NDO37" s="47"/>
      <c r="NDP37" s="47"/>
      <c r="NDQ37" s="47"/>
      <c r="NDR37" s="47"/>
      <c r="NDS37" s="47"/>
      <c r="NDT37" s="47"/>
      <c r="NDU37" s="47"/>
      <c r="NDV37" s="47"/>
      <c r="NDW37" s="47"/>
      <c r="NDX37" s="47"/>
      <c r="NDY37" s="47"/>
      <c r="NDZ37" s="47"/>
      <c r="NEA37" s="47"/>
      <c r="NEB37" s="47"/>
      <c r="NEC37" s="47"/>
      <c r="NED37" s="47"/>
      <c r="NEE37" s="47"/>
      <c r="NEF37" s="47"/>
      <c r="NEG37" s="47"/>
      <c r="NEH37" s="47"/>
      <c r="NEI37" s="47"/>
      <c r="NEJ37" s="47"/>
      <c r="NEK37" s="47"/>
      <c r="NEL37" s="47"/>
      <c r="NEM37" s="47"/>
      <c r="NEN37" s="47"/>
      <c r="NEO37" s="47"/>
      <c r="NEP37" s="47"/>
      <c r="NEQ37" s="47"/>
      <c r="NER37" s="47"/>
      <c r="NES37" s="47"/>
      <c r="NET37" s="47"/>
      <c r="NEU37" s="47"/>
      <c r="NEV37" s="47"/>
      <c r="NEW37" s="47"/>
      <c r="NEX37" s="47"/>
      <c r="NEY37" s="47"/>
      <c r="NEZ37" s="47"/>
      <c r="NFA37" s="47"/>
      <c r="NFB37" s="47"/>
      <c r="NFC37" s="47"/>
      <c r="NFD37" s="47"/>
      <c r="NFE37" s="47"/>
      <c r="NFF37" s="47"/>
      <c r="NFG37" s="47"/>
      <c r="NFH37" s="47"/>
      <c r="NFI37" s="47"/>
      <c r="NFJ37" s="47"/>
      <c r="NFK37" s="47"/>
      <c r="NFL37" s="47"/>
      <c r="NFM37" s="47"/>
      <c r="NFN37" s="47"/>
      <c r="NFO37" s="47"/>
      <c r="NFP37" s="47"/>
      <c r="NFQ37" s="47"/>
      <c r="NFR37" s="47"/>
      <c r="NFS37" s="47"/>
      <c r="NFT37" s="47"/>
      <c r="NFU37" s="47"/>
      <c r="NFV37" s="47"/>
      <c r="NFW37" s="47"/>
      <c r="NFX37" s="47"/>
      <c r="NFY37" s="47"/>
      <c r="NFZ37" s="47"/>
      <c r="NGA37" s="47"/>
      <c r="NGB37" s="47"/>
      <c r="NGC37" s="47"/>
      <c r="NGD37" s="47"/>
      <c r="NGE37" s="47"/>
      <c r="NGF37" s="47"/>
      <c r="NGG37" s="47"/>
      <c r="NGH37" s="47"/>
      <c r="NGI37" s="47"/>
      <c r="NGJ37" s="47"/>
      <c r="NGK37" s="47"/>
      <c r="NGL37" s="47"/>
      <c r="NGM37" s="47"/>
      <c r="NGN37" s="47"/>
      <c r="NGO37" s="47"/>
      <c r="NGP37" s="47"/>
      <c r="NGQ37" s="47"/>
      <c r="NGR37" s="47"/>
      <c r="NGS37" s="47"/>
      <c r="NGT37" s="47"/>
      <c r="NGU37" s="47"/>
      <c r="NGV37" s="47"/>
      <c r="NGW37" s="47"/>
      <c r="NGX37" s="47"/>
      <c r="NGY37" s="47"/>
      <c r="NGZ37" s="47"/>
      <c r="NHA37" s="47"/>
      <c r="NHB37" s="47"/>
      <c r="NHC37" s="47"/>
      <c r="NHD37" s="47"/>
      <c r="NHE37" s="47"/>
      <c r="NHF37" s="47"/>
      <c r="NHG37" s="47"/>
      <c r="NHH37" s="47"/>
      <c r="NHI37" s="47"/>
      <c r="NHJ37" s="47"/>
      <c r="NHK37" s="47"/>
      <c r="NHL37" s="47"/>
      <c r="NHM37" s="47"/>
      <c r="NHN37" s="47"/>
      <c r="NHO37" s="47"/>
      <c r="NHP37" s="47"/>
      <c r="NHQ37" s="47"/>
      <c r="NHR37" s="47"/>
      <c r="NHS37" s="47"/>
      <c r="NHT37" s="47"/>
      <c r="NHU37" s="47"/>
      <c r="NHV37" s="47"/>
      <c r="NHW37" s="47"/>
      <c r="NHX37" s="47"/>
      <c r="NHY37" s="47"/>
      <c r="NHZ37" s="47"/>
      <c r="NIA37" s="47"/>
      <c r="NIB37" s="47"/>
      <c r="NIC37" s="47"/>
      <c r="NID37" s="47"/>
      <c r="NIE37" s="47"/>
      <c r="NIF37" s="47"/>
      <c r="NIG37" s="47"/>
      <c r="NIH37" s="47"/>
      <c r="NII37" s="47"/>
      <c r="NIJ37" s="47"/>
      <c r="NIK37" s="47"/>
      <c r="NIL37" s="47"/>
      <c r="NIM37" s="47"/>
      <c r="NIN37" s="47"/>
      <c r="NIO37" s="47"/>
      <c r="NIP37" s="47"/>
      <c r="NIQ37" s="47"/>
      <c r="NIR37" s="47"/>
      <c r="NIS37" s="47"/>
      <c r="NIT37" s="47"/>
      <c r="NIU37" s="47"/>
      <c r="NIV37" s="47"/>
      <c r="NIW37" s="47"/>
      <c r="NIX37" s="47"/>
      <c r="NIY37" s="47"/>
      <c r="NIZ37" s="47"/>
      <c r="NJA37" s="47"/>
      <c r="NJB37" s="47"/>
      <c r="NJC37" s="47"/>
      <c r="NJD37" s="47"/>
      <c r="NJE37" s="47"/>
      <c r="NJF37" s="47"/>
      <c r="NJG37" s="47"/>
      <c r="NJH37" s="47"/>
      <c r="NJI37" s="47"/>
      <c r="NJJ37" s="47"/>
      <c r="NJK37" s="47"/>
      <c r="NJL37" s="47"/>
      <c r="NJM37" s="47"/>
      <c r="NJN37" s="47"/>
      <c r="NJO37" s="47"/>
      <c r="NJP37" s="47"/>
      <c r="NJQ37" s="47"/>
      <c r="NJR37" s="47"/>
      <c r="NJS37" s="47"/>
      <c r="NJT37" s="47"/>
      <c r="NJU37" s="47"/>
      <c r="NJV37" s="47"/>
      <c r="NJW37" s="47"/>
      <c r="NJX37" s="47"/>
      <c r="NJY37" s="47"/>
      <c r="NJZ37" s="47"/>
      <c r="NKA37" s="47"/>
      <c r="NKB37" s="47"/>
      <c r="NKC37" s="47"/>
      <c r="NKD37" s="47"/>
      <c r="NKE37" s="47"/>
      <c r="NKF37" s="47"/>
      <c r="NKG37" s="47"/>
      <c r="NKH37" s="47"/>
      <c r="NKI37" s="47"/>
      <c r="NKJ37" s="47"/>
      <c r="NKK37" s="47"/>
      <c r="NKL37" s="47"/>
      <c r="NKM37" s="47"/>
      <c r="NKN37" s="47"/>
      <c r="NKO37" s="47"/>
      <c r="NKP37" s="47"/>
      <c r="NKQ37" s="47"/>
      <c r="NKR37" s="47"/>
      <c r="NKS37" s="47"/>
      <c r="NKT37" s="47"/>
      <c r="NKU37" s="47"/>
      <c r="NKV37" s="47"/>
      <c r="NKW37" s="47"/>
      <c r="NKX37" s="47"/>
      <c r="NKY37" s="47"/>
      <c r="NKZ37" s="47"/>
      <c r="NLA37" s="47"/>
      <c r="NLB37" s="47"/>
      <c r="NLC37" s="47"/>
      <c r="NLD37" s="47"/>
      <c r="NLE37" s="47"/>
      <c r="NLF37" s="47"/>
      <c r="NLG37" s="47"/>
      <c r="NLH37" s="47"/>
      <c r="NLI37" s="47"/>
      <c r="NLJ37" s="47"/>
      <c r="NLK37" s="47"/>
      <c r="NLL37" s="47"/>
      <c r="NLM37" s="47"/>
      <c r="NLN37" s="47"/>
      <c r="NLO37" s="47"/>
      <c r="NLP37" s="47"/>
      <c r="NLQ37" s="47"/>
      <c r="NLR37" s="47"/>
      <c r="NLS37" s="47"/>
      <c r="NLT37" s="47"/>
      <c r="NLU37" s="47"/>
      <c r="NLV37" s="47"/>
      <c r="NLW37" s="47"/>
      <c r="NLX37" s="47"/>
      <c r="NLY37" s="47"/>
      <c r="NLZ37" s="47"/>
      <c r="NMA37" s="47"/>
      <c r="NMB37" s="47"/>
      <c r="NMC37" s="47"/>
      <c r="NMD37" s="47"/>
      <c r="NME37" s="47"/>
      <c r="NMF37" s="47"/>
      <c r="NMG37" s="47"/>
      <c r="NMH37" s="47"/>
      <c r="NMI37" s="47"/>
      <c r="NMJ37" s="47"/>
      <c r="NMK37" s="47"/>
      <c r="NML37" s="47"/>
      <c r="NMM37" s="47"/>
      <c r="NMN37" s="47"/>
      <c r="NMO37" s="47"/>
      <c r="NMP37" s="47"/>
      <c r="NMQ37" s="47"/>
      <c r="NMR37" s="47"/>
      <c r="NMS37" s="47"/>
      <c r="NMT37" s="47"/>
      <c r="NMU37" s="47"/>
      <c r="NMV37" s="47"/>
      <c r="NMW37" s="47"/>
      <c r="NMX37" s="47"/>
      <c r="NMY37" s="47"/>
      <c r="NMZ37" s="47"/>
      <c r="NNA37" s="47"/>
      <c r="NNB37" s="47"/>
      <c r="NNC37" s="47"/>
      <c r="NND37" s="47"/>
      <c r="NNE37" s="47"/>
      <c r="NNF37" s="47"/>
      <c r="NNG37" s="47"/>
      <c r="NNH37" s="47"/>
      <c r="NNI37" s="47"/>
      <c r="NNJ37" s="47"/>
      <c r="NNK37" s="47"/>
      <c r="NNL37" s="47"/>
      <c r="NNM37" s="47"/>
      <c r="NNN37" s="47"/>
      <c r="NNO37" s="47"/>
      <c r="NNP37" s="47"/>
      <c r="NNQ37" s="47"/>
      <c r="NNR37" s="47"/>
      <c r="NNS37" s="47"/>
      <c r="NNT37" s="47"/>
      <c r="NNU37" s="47"/>
      <c r="NNV37" s="47"/>
      <c r="NNW37" s="47"/>
      <c r="NNX37" s="47"/>
      <c r="NNY37" s="47"/>
      <c r="NNZ37" s="47"/>
      <c r="NOA37" s="47"/>
      <c r="NOB37" s="47"/>
      <c r="NOC37" s="47"/>
      <c r="NOD37" s="47"/>
      <c r="NOE37" s="47"/>
      <c r="NOF37" s="47"/>
      <c r="NOG37" s="47"/>
      <c r="NOH37" s="47"/>
      <c r="NOI37" s="47"/>
      <c r="NOJ37" s="47"/>
      <c r="NOK37" s="47"/>
      <c r="NOL37" s="47"/>
      <c r="NOM37" s="47"/>
      <c r="NON37" s="47"/>
      <c r="NOO37" s="47"/>
      <c r="NOP37" s="47"/>
      <c r="NOQ37" s="47"/>
      <c r="NOR37" s="47"/>
      <c r="NOS37" s="47"/>
      <c r="NOT37" s="47"/>
      <c r="NOU37" s="47"/>
      <c r="NOV37" s="47"/>
      <c r="NOW37" s="47"/>
      <c r="NOX37" s="47"/>
      <c r="NOY37" s="47"/>
      <c r="NOZ37" s="47"/>
      <c r="NPA37" s="47"/>
      <c r="NPB37" s="47"/>
      <c r="NPC37" s="47"/>
      <c r="NPD37" s="47"/>
      <c r="NPE37" s="47"/>
      <c r="NPF37" s="47"/>
      <c r="NPG37" s="47"/>
      <c r="NPH37" s="47"/>
      <c r="NPI37" s="47"/>
      <c r="NPJ37" s="47"/>
      <c r="NPK37" s="47"/>
      <c r="NPL37" s="47"/>
      <c r="NPM37" s="47"/>
      <c r="NPN37" s="47"/>
      <c r="NPO37" s="47"/>
      <c r="NPP37" s="47"/>
      <c r="NPQ37" s="47"/>
      <c r="NPR37" s="47"/>
      <c r="NPS37" s="47"/>
      <c r="NPT37" s="47"/>
      <c r="NPU37" s="47"/>
      <c r="NPV37" s="47"/>
      <c r="NPW37" s="47"/>
      <c r="NPX37" s="47"/>
      <c r="NPY37" s="47"/>
      <c r="NPZ37" s="47"/>
      <c r="NQA37" s="47"/>
      <c r="NQB37" s="47"/>
      <c r="NQC37" s="47"/>
      <c r="NQD37" s="47"/>
      <c r="NQE37" s="47"/>
      <c r="NQF37" s="47"/>
      <c r="NQG37" s="47"/>
      <c r="NQH37" s="47"/>
      <c r="NQI37" s="47"/>
      <c r="NQJ37" s="47"/>
      <c r="NQK37" s="47"/>
      <c r="NQL37" s="47"/>
      <c r="NQM37" s="47"/>
      <c r="NQN37" s="47"/>
      <c r="NQO37" s="47"/>
      <c r="NQP37" s="47"/>
      <c r="NQQ37" s="47"/>
      <c r="NQR37" s="47"/>
      <c r="NQS37" s="47"/>
      <c r="NQT37" s="47"/>
      <c r="NQU37" s="47"/>
      <c r="NQV37" s="47"/>
      <c r="NQW37" s="47"/>
      <c r="NQX37" s="47"/>
      <c r="NQY37" s="47"/>
      <c r="NQZ37" s="47"/>
      <c r="NRA37" s="47"/>
      <c r="NRB37" s="47"/>
      <c r="NRC37" s="47"/>
      <c r="NRD37" s="47"/>
      <c r="NRE37" s="47"/>
      <c r="NRF37" s="47"/>
      <c r="NRG37" s="47"/>
      <c r="NRH37" s="47"/>
      <c r="NRI37" s="47"/>
      <c r="NRJ37" s="47"/>
      <c r="NRK37" s="47"/>
      <c r="NRL37" s="47"/>
      <c r="NRM37" s="47"/>
      <c r="NRN37" s="47"/>
      <c r="NRO37" s="47"/>
      <c r="NRP37" s="47"/>
      <c r="NRQ37" s="47"/>
      <c r="NRR37" s="47"/>
      <c r="NRS37" s="47"/>
      <c r="NRT37" s="47"/>
      <c r="NRU37" s="47"/>
      <c r="NRV37" s="47"/>
      <c r="NRW37" s="47"/>
      <c r="NRX37" s="47"/>
      <c r="NRY37" s="47"/>
      <c r="NRZ37" s="47"/>
      <c r="NSA37" s="47"/>
      <c r="NSB37" s="47"/>
      <c r="NSC37" s="47"/>
      <c r="NSD37" s="47"/>
      <c r="NSE37" s="47"/>
      <c r="NSF37" s="47"/>
      <c r="NSG37" s="47"/>
      <c r="NSH37" s="47"/>
      <c r="NSI37" s="47"/>
      <c r="NSJ37" s="47"/>
      <c r="NSK37" s="47"/>
      <c r="NSL37" s="47"/>
      <c r="NSM37" s="47"/>
      <c r="NSN37" s="47"/>
      <c r="NSO37" s="47"/>
      <c r="NSP37" s="47"/>
      <c r="NSQ37" s="47"/>
      <c r="NSR37" s="47"/>
      <c r="NSS37" s="47"/>
      <c r="NST37" s="47"/>
      <c r="NSU37" s="47"/>
      <c r="NSV37" s="47"/>
      <c r="NSW37" s="47"/>
      <c r="NSX37" s="47"/>
      <c r="NSY37" s="47"/>
      <c r="NSZ37" s="47"/>
      <c r="NTA37" s="47"/>
      <c r="NTB37" s="47"/>
      <c r="NTC37" s="47"/>
      <c r="NTD37" s="47"/>
      <c r="NTE37" s="47"/>
      <c r="NTF37" s="47"/>
      <c r="NTG37" s="47"/>
      <c r="NTH37" s="47"/>
      <c r="NTI37" s="47"/>
      <c r="NTJ37" s="47"/>
      <c r="NTK37" s="47"/>
      <c r="NTL37" s="47"/>
      <c r="NTM37" s="47"/>
      <c r="NTN37" s="47"/>
      <c r="NTO37" s="47"/>
      <c r="NTP37" s="47"/>
      <c r="NTQ37" s="47"/>
      <c r="NTR37" s="47"/>
      <c r="NTS37" s="47"/>
      <c r="NTT37" s="47"/>
      <c r="NTU37" s="47"/>
      <c r="NTV37" s="47"/>
      <c r="NTW37" s="47"/>
      <c r="NTX37" s="47"/>
      <c r="NTY37" s="47"/>
      <c r="NTZ37" s="47"/>
      <c r="NUA37" s="47"/>
      <c r="NUB37" s="47"/>
      <c r="NUC37" s="47"/>
      <c r="NUD37" s="47"/>
      <c r="NUE37" s="47"/>
      <c r="NUF37" s="47"/>
      <c r="NUG37" s="47"/>
      <c r="NUH37" s="47"/>
      <c r="NUI37" s="47"/>
      <c r="NUJ37" s="47"/>
      <c r="NUK37" s="47"/>
      <c r="NUL37" s="47"/>
      <c r="NUM37" s="47"/>
      <c r="NUN37" s="47"/>
      <c r="NUO37" s="47"/>
      <c r="NUP37" s="47"/>
      <c r="NUQ37" s="47"/>
      <c r="NUR37" s="47"/>
      <c r="NUS37" s="47"/>
      <c r="NUT37" s="47"/>
      <c r="NUU37" s="47"/>
      <c r="NUV37" s="47"/>
      <c r="NUW37" s="47"/>
      <c r="NUX37" s="47"/>
      <c r="NUY37" s="47"/>
      <c r="NUZ37" s="47"/>
      <c r="NVA37" s="47"/>
      <c r="NVB37" s="47"/>
      <c r="NVC37" s="47"/>
      <c r="NVD37" s="47"/>
      <c r="NVE37" s="47"/>
      <c r="NVF37" s="47"/>
      <c r="NVG37" s="47"/>
      <c r="NVH37" s="47"/>
      <c r="NVI37" s="47"/>
      <c r="NVJ37" s="47"/>
      <c r="NVK37" s="47"/>
      <c r="NVL37" s="47"/>
      <c r="NVM37" s="47"/>
      <c r="NVN37" s="47"/>
      <c r="NVO37" s="47"/>
      <c r="NVP37" s="47"/>
      <c r="NVQ37" s="47"/>
      <c r="NVR37" s="47"/>
      <c r="NVS37" s="47"/>
      <c r="NVT37" s="47"/>
      <c r="NVU37" s="47"/>
      <c r="NVV37" s="47"/>
      <c r="NVW37" s="47"/>
      <c r="NVX37" s="47"/>
      <c r="NVY37" s="47"/>
      <c r="NVZ37" s="47"/>
      <c r="NWA37" s="47"/>
      <c r="NWB37" s="47"/>
      <c r="NWC37" s="47"/>
      <c r="NWD37" s="47"/>
      <c r="NWE37" s="47"/>
      <c r="NWF37" s="47"/>
      <c r="NWG37" s="47"/>
      <c r="NWH37" s="47"/>
      <c r="NWI37" s="47"/>
      <c r="NWJ37" s="47"/>
      <c r="NWK37" s="47"/>
      <c r="NWL37" s="47"/>
      <c r="NWM37" s="47"/>
      <c r="NWN37" s="47"/>
      <c r="NWO37" s="47"/>
      <c r="NWP37" s="47"/>
      <c r="NWQ37" s="47"/>
      <c r="NWR37" s="47"/>
      <c r="NWS37" s="47"/>
      <c r="NWT37" s="47"/>
      <c r="NWU37" s="47"/>
      <c r="NWV37" s="47"/>
      <c r="NWW37" s="47"/>
      <c r="NWX37" s="47"/>
      <c r="NWY37" s="47"/>
      <c r="NWZ37" s="47"/>
      <c r="NXA37" s="47"/>
      <c r="NXB37" s="47"/>
      <c r="NXC37" s="47"/>
      <c r="NXD37" s="47"/>
      <c r="NXE37" s="47"/>
      <c r="NXF37" s="47"/>
      <c r="NXG37" s="47"/>
      <c r="NXH37" s="47"/>
      <c r="NXI37" s="47"/>
      <c r="NXJ37" s="47"/>
      <c r="NXK37" s="47"/>
      <c r="NXL37" s="47"/>
      <c r="NXM37" s="47"/>
      <c r="NXN37" s="47"/>
      <c r="NXO37" s="47"/>
      <c r="NXP37" s="47"/>
      <c r="NXQ37" s="47"/>
      <c r="NXR37" s="47"/>
      <c r="NXS37" s="47"/>
      <c r="NXT37" s="47"/>
      <c r="NXU37" s="47"/>
      <c r="NXV37" s="47"/>
      <c r="NXW37" s="47"/>
      <c r="NXX37" s="47"/>
      <c r="NXY37" s="47"/>
      <c r="NXZ37" s="47"/>
      <c r="NYA37" s="47"/>
      <c r="NYB37" s="47"/>
      <c r="NYC37" s="47"/>
      <c r="NYD37" s="47"/>
      <c r="NYE37" s="47"/>
      <c r="NYF37" s="47"/>
      <c r="NYG37" s="47"/>
      <c r="NYH37" s="47"/>
      <c r="NYI37" s="47"/>
      <c r="NYJ37" s="47"/>
      <c r="NYK37" s="47"/>
      <c r="NYL37" s="47"/>
      <c r="NYM37" s="47"/>
      <c r="NYN37" s="47"/>
      <c r="NYO37" s="47"/>
      <c r="NYP37" s="47"/>
      <c r="NYQ37" s="47"/>
      <c r="NYR37" s="47"/>
      <c r="NYS37" s="47"/>
      <c r="NYT37" s="47"/>
      <c r="NYU37" s="47"/>
      <c r="NYV37" s="47"/>
      <c r="NYW37" s="47"/>
      <c r="NYX37" s="47"/>
      <c r="NYY37" s="47"/>
      <c r="NYZ37" s="47"/>
      <c r="NZA37" s="47"/>
      <c r="NZB37" s="47"/>
      <c r="NZC37" s="47"/>
      <c r="NZD37" s="47"/>
      <c r="NZE37" s="47"/>
      <c r="NZF37" s="47"/>
      <c r="NZG37" s="47"/>
      <c r="NZH37" s="47"/>
      <c r="NZI37" s="47"/>
      <c r="NZJ37" s="47"/>
      <c r="NZK37" s="47"/>
      <c r="NZL37" s="47"/>
      <c r="NZM37" s="47"/>
      <c r="NZN37" s="47"/>
      <c r="NZO37" s="47"/>
      <c r="NZP37" s="47"/>
      <c r="NZQ37" s="47"/>
      <c r="NZR37" s="47"/>
      <c r="NZS37" s="47"/>
      <c r="NZT37" s="47"/>
      <c r="NZU37" s="47"/>
      <c r="NZV37" s="47"/>
      <c r="NZW37" s="47"/>
      <c r="NZX37" s="47"/>
      <c r="NZY37" s="47"/>
      <c r="NZZ37" s="47"/>
      <c r="OAA37" s="47"/>
      <c r="OAB37" s="47"/>
      <c r="OAC37" s="47"/>
      <c r="OAD37" s="47"/>
      <c r="OAE37" s="47"/>
      <c r="OAF37" s="47"/>
      <c r="OAG37" s="47"/>
      <c r="OAH37" s="47"/>
      <c r="OAI37" s="47"/>
      <c r="OAJ37" s="47"/>
      <c r="OAK37" s="47"/>
      <c r="OAL37" s="47"/>
      <c r="OAM37" s="47"/>
      <c r="OAN37" s="47"/>
      <c r="OAO37" s="47"/>
      <c r="OAP37" s="47"/>
      <c r="OAQ37" s="47"/>
      <c r="OAR37" s="47"/>
      <c r="OAS37" s="47"/>
      <c r="OAT37" s="47"/>
      <c r="OAU37" s="47"/>
      <c r="OAV37" s="47"/>
      <c r="OAW37" s="47"/>
      <c r="OAX37" s="47"/>
      <c r="OAY37" s="47"/>
      <c r="OAZ37" s="47"/>
      <c r="OBA37" s="47"/>
      <c r="OBB37" s="47"/>
      <c r="OBC37" s="47"/>
      <c r="OBD37" s="47"/>
      <c r="OBE37" s="47"/>
      <c r="OBF37" s="47"/>
      <c r="OBG37" s="47"/>
      <c r="OBH37" s="47"/>
      <c r="OBI37" s="47"/>
      <c r="OBJ37" s="47"/>
      <c r="OBK37" s="47"/>
      <c r="OBL37" s="47"/>
      <c r="OBM37" s="47"/>
      <c r="OBN37" s="47"/>
      <c r="OBO37" s="47"/>
      <c r="OBP37" s="47"/>
      <c r="OBQ37" s="47"/>
      <c r="OBR37" s="47"/>
      <c r="OBS37" s="47"/>
      <c r="OBT37" s="47"/>
      <c r="OBU37" s="47"/>
      <c r="OBV37" s="47"/>
      <c r="OBW37" s="47"/>
      <c r="OBX37" s="47"/>
      <c r="OBY37" s="47"/>
      <c r="OBZ37" s="47"/>
      <c r="OCA37" s="47"/>
      <c r="OCB37" s="47"/>
      <c r="OCC37" s="47"/>
      <c r="OCD37" s="47"/>
      <c r="OCE37" s="47"/>
      <c r="OCF37" s="47"/>
      <c r="OCG37" s="47"/>
      <c r="OCH37" s="47"/>
      <c r="OCI37" s="47"/>
      <c r="OCJ37" s="47"/>
      <c r="OCK37" s="47"/>
      <c r="OCL37" s="47"/>
      <c r="OCM37" s="47"/>
      <c r="OCN37" s="47"/>
      <c r="OCO37" s="47"/>
      <c r="OCP37" s="47"/>
      <c r="OCQ37" s="47"/>
      <c r="OCR37" s="47"/>
      <c r="OCS37" s="47"/>
      <c r="OCT37" s="47"/>
      <c r="OCU37" s="47"/>
      <c r="OCV37" s="47"/>
      <c r="OCW37" s="47"/>
      <c r="OCX37" s="47"/>
      <c r="OCY37" s="47"/>
      <c r="OCZ37" s="47"/>
      <c r="ODA37" s="47"/>
      <c r="ODB37" s="47"/>
      <c r="ODC37" s="47"/>
      <c r="ODD37" s="47"/>
      <c r="ODE37" s="47"/>
      <c r="ODF37" s="47"/>
      <c r="ODG37" s="47"/>
      <c r="ODH37" s="47"/>
      <c r="ODI37" s="47"/>
      <c r="ODJ37" s="47"/>
      <c r="ODK37" s="47"/>
      <c r="ODL37" s="47"/>
      <c r="ODM37" s="47"/>
      <c r="ODN37" s="47"/>
      <c r="ODO37" s="47"/>
      <c r="ODP37" s="47"/>
      <c r="ODQ37" s="47"/>
      <c r="ODR37" s="47"/>
      <c r="ODS37" s="47"/>
      <c r="ODT37" s="47"/>
      <c r="ODU37" s="47"/>
      <c r="ODV37" s="47"/>
      <c r="ODW37" s="47"/>
      <c r="ODX37" s="47"/>
      <c r="ODY37" s="47"/>
      <c r="ODZ37" s="47"/>
      <c r="OEA37" s="47"/>
      <c r="OEB37" s="47"/>
      <c r="OEC37" s="47"/>
      <c r="OED37" s="47"/>
      <c r="OEE37" s="47"/>
      <c r="OEF37" s="47"/>
      <c r="OEG37" s="47"/>
      <c r="OEH37" s="47"/>
      <c r="OEI37" s="47"/>
      <c r="OEJ37" s="47"/>
      <c r="OEK37" s="47"/>
      <c r="OEL37" s="47"/>
      <c r="OEM37" s="47"/>
      <c r="OEN37" s="47"/>
      <c r="OEO37" s="47"/>
      <c r="OEP37" s="47"/>
      <c r="OEQ37" s="47"/>
      <c r="OER37" s="47"/>
      <c r="OES37" s="47"/>
      <c r="OET37" s="47"/>
      <c r="OEU37" s="47"/>
      <c r="OEV37" s="47"/>
      <c r="OEW37" s="47"/>
      <c r="OEX37" s="47"/>
      <c r="OEY37" s="47"/>
      <c r="OEZ37" s="47"/>
      <c r="OFA37" s="47"/>
      <c r="OFB37" s="47"/>
      <c r="OFC37" s="47"/>
      <c r="OFD37" s="47"/>
      <c r="OFE37" s="47"/>
      <c r="OFF37" s="47"/>
      <c r="OFG37" s="47"/>
      <c r="OFH37" s="47"/>
      <c r="OFI37" s="47"/>
      <c r="OFJ37" s="47"/>
      <c r="OFK37" s="47"/>
      <c r="OFL37" s="47"/>
      <c r="OFM37" s="47"/>
      <c r="OFN37" s="47"/>
      <c r="OFO37" s="47"/>
      <c r="OFP37" s="47"/>
      <c r="OFQ37" s="47"/>
      <c r="OFR37" s="47"/>
      <c r="OFS37" s="47"/>
      <c r="OFT37" s="47"/>
      <c r="OFU37" s="47"/>
      <c r="OFV37" s="47"/>
      <c r="OFW37" s="47"/>
      <c r="OFX37" s="47"/>
      <c r="OFY37" s="47"/>
      <c r="OFZ37" s="47"/>
      <c r="OGA37" s="47"/>
      <c r="OGB37" s="47"/>
      <c r="OGC37" s="47"/>
      <c r="OGD37" s="47"/>
      <c r="OGE37" s="47"/>
      <c r="OGF37" s="47"/>
      <c r="OGG37" s="47"/>
      <c r="OGH37" s="47"/>
      <c r="OGI37" s="47"/>
      <c r="OGJ37" s="47"/>
      <c r="OGK37" s="47"/>
      <c r="OGL37" s="47"/>
      <c r="OGM37" s="47"/>
      <c r="OGN37" s="47"/>
      <c r="OGO37" s="47"/>
      <c r="OGP37" s="47"/>
      <c r="OGQ37" s="47"/>
      <c r="OGR37" s="47"/>
      <c r="OGS37" s="47"/>
      <c r="OGT37" s="47"/>
      <c r="OGU37" s="47"/>
      <c r="OGV37" s="47"/>
      <c r="OGW37" s="47"/>
      <c r="OGX37" s="47"/>
      <c r="OGY37" s="47"/>
      <c r="OGZ37" s="47"/>
      <c r="OHA37" s="47"/>
      <c r="OHB37" s="47"/>
      <c r="OHC37" s="47"/>
      <c r="OHD37" s="47"/>
      <c r="OHE37" s="47"/>
      <c r="OHF37" s="47"/>
      <c r="OHG37" s="47"/>
      <c r="OHH37" s="47"/>
      <c r="OHI37" s="47"/>
      <c r="OHJ37" s="47"/>
      <c r="OHK37" s="47"/>
      <c r="OHL37" s="47"/>
      <c r="OHM37" s="47"/>
      <c r="OHN37" s="47"/>
      <c r="OHO37" s="47"/>
      <c r="OHP37" s="47"/>
      <c r="OHQ37" s="47"/>
      <c r="OHR37" s="47"/>
      <c r="OHS37" s="47"/>
      <c r="OHT37" s="47"/>
      <c r="OHU37" s="47"/>
      <c r="OHV37" s="47"/>
      <c r="OHW37" s="47"/>
      <c r="OHX37" s="47"/>
      <c r="OHY37" s="47"/>
      <c r="OHZ37" s="47"/>
      <c r="OIA37" s="47"/>
      <c r="OIB37" s="47"/>
      <c r="OIC37" s="47"/>
      <c r="OID37" s="47"/>
      <c r="OIE37" s="47"/>
      <c r="OIF37" s="47"/>
      <c r="OIG37" s="47"/>
      <c r="OIH37" s="47"/>
      <c r="OII37" s="47"/>
      <c r="OIJ37" s="47"/>
      <c r="OIK37" s="47"/>
      <c r="OIL37" s="47"/>
      <c r="OIM37" s="47"/>
      <c r="OIN37" s="47"/>
      <c r="OIO37" s="47"/>
      <c r="OIP37" s="47"/>
      <c r="OIQ37" s="47"/>
      <c r="OIR37" s="47"/>
      <c r="OIS37" s="47"/>
      <c r="OIT37" s="47"/>
      <c r="OIU37" s="47"/>
      <c r="OIV37" s="47"/>
      <c r="OIW37" s="47"/>
      <c r="OIX37" s="47"/>
      <c r="OIY37" s="47"/>
      <c r="OIZ37" s="47"/>
      <c r="OJA37" s="47"/>
      <c r="OJB37" s="47"/>
      <c r="OJC37" s="47"/>
      <c r="OJD37" s="47"/>
      <c r="OJE37" s="47"/>
      <c r="OJF37" s="47"/>
      <c r="OJG37" s="47"/>
      <c r="OJH37" s="47"/>
      <c r="OJI37" s="47"/>
      <c r="OJJ37" s="47"/>
      <c r="OJK37" s="47"/>
      <c r="OJL37" s="47"/>
      <c r="OJM37" s="47"/>
      <c r="OJN37" s="47"/>
      <c r="OJO37" s="47"/>
      <c r="OJP37" s="47"/>
      <c r="OJQ37" s="47"/>
      <c r="OJR37" s="47"/>
      <c r="OJS37" s="47"/>
      <c r="OJT37" s="47"/>
      <c r="OJU37" s="47"/>
      <c r="OJV37" s="47"/>
      <c r="OJW37" s="47"/>
      <c r="OJX37" s="47"/>
      <c r="OJY37" s="47"/>
      <c r="OJZ37" s="47"/>
      <c r="OKA37" s="47"/>
      <c r="OKB37" s="47"/>
      <c r="OKC37" s="47"/>
      <c r="OKD37" s="47"/>
      <c r="OKE37" s="47"/>
      <c r="OKF37" s="47"/>
      <c r="OKG37" s="47"/>
      <c r="OKH37" s="47"/>
      <c r="OKI37" s="47"/>
      <c r="OKJ37" s="47"/>
      <c r="OKK37" s="47"/>
      <c r="OKL37" s="47"/>
      <c r="OKM37" s="47"/>
      <c r="OKN37" s="47"/>
      <c r="OKO37" s="47"/>
      <c r="OKP37" s="47"/>
      <c r="OKQ37" s="47"/>
      <c r="OKR37" s="47"/>
      <c r="OKS37" s="47"/>
      <c r="OKT37" s="47"/>
      <c r="OKU37" s="47"/>
      <c r="OKV37" s="47"/>
      <c r="OKW37" s="47"/>
      <c r="OKX37" s="47"/>
      <c r="OKY37" s="47"/>
      <c r="OKZ37" s="47"/>
      <c r="OLA37" s="47"/>
      <c r="OLB37" s="47"/>
      <c r="OLC37" s="47"/>
      <c r="OLD37" s="47"/>
      <c r="OLE37" s="47"/>
      <c r="OLF37" s="47"/>
      <c r="OLG37" s="47"/>
      <c r="OLH37" s="47"/>
      <c r="OLI37" s="47"/>
      <c r="OLJ37" s="47"/>
      <c r="OLK37" s="47"/>
      <c r="OLL37" s="47"/>
      <c r="OLM37" s="47"/>
      <c r="OLN37" s="47"/>
      <c r="OLO37" s="47"/>
      <c r="OLP37" s="47"/>
      <c r="OLQ37" s="47"/>
      <c r="OLR37" s="47"/>
      <c r="OLS37" s="47"/>
      <c r="OLT37" s="47"/>
      <c r="OLU37" s="47"/>
      <c r="OLV37" s="47"/>
      <c r="OLW37" s="47"/>
      <c r="OLX37" s="47"/>
      <c r="OLY37" s="47"/>
      <c r="OLZ37" s="47"/>
      <c r="OMA37" s="47"/>
      <c r="OMB37" s="47"/>
      <c r="OMC37" s="47"/>
      <c r="OMD37" s="47"/>
      <c r="OME37" s="47"/>
      <c r="OMF37" s="47"/>
      <c r="OMG37" s="47"/>
      <c r="OMH37" s="47"/>
      <c r="OMI37" s="47"/>
      <c r="OMJ37" s="47"/>
      <c r="OMK37" s="47"/>
      <c r="OML37" s="47"/>
      <c r="OMM37" s="47"/>
      <c r="OMN37" s="47"/>
      <c r="OMO37" s="47"/>
      <c r="OMP37" s="47"/>
      <c r="OMQ37" s="47"/>
      <c r="OMR37" s="47"/>
      <c r="OMS37" s="47"/>
      <c r="OMT37" s="47"/>
      <c r="OMU37" s="47"/>
      <c r="OMV37" s="47"/>
      <c r="OMW37" s="47"/>
      <c r="OMX37" s="47"/>
      <c r="OMY37" s="47"/>
      <c r="OMZ37" s="47"/>
      <c r="ONA37" s="47"/>
      <c r="ONB37" s="47"/>
      <c r="ONC37" s="47"/>
      <c r="OND37" s="47"/>
      <c r="ONE37" s="47"/>
      <c r="ONF37" s="47"/>
      <c r="ONG37" s="47"/>
      <c r="ONH37" s="47"/>
      <c r="ONI37" s="47"/>
      <c r="ONJ37" s="47"/>
      <c r="ONK37" s="47"/>
      <c r="ONL37" s="47"/>
      <c r="ONM37" s="47"/>
      <c r="ONN37" s="47"/>
      <c r="ONO37" s="47"/>
      <c r="ONP37" s="47"/>
      <c r="ONQ37" s="47"/>
      <c r="ONR37" s="47"/>
      <c r="ONS37" s="47"/>
      <c r="ONT37" s="47"/>
      <c r="ONU37" s="47"/>
      <c r="ONV37" s="47"/>
      <c r="ONW37" s="47"/>
      <c r="ONX37" s="47"/>
      <c r="ONY37" s="47"/>
      <c r="ONZ37" s="47"/>
      <c r="OOA37" s="47"/>
      <c r="OOB37" s="47"/>
      <c r="OOC37" s="47"/>
      <c r="OOD37" s="47"/>
      <c r="OOE37" s="47"/>
      <c r="OOF37" s="47"/>
      <c r="OOG37" s="47"/>
      <c r="OOH37" s="47"/>
      <c r="OOI37" s="47"/>
      <c r="OOJ37" s="47"/>
      <c r="OOK37" s="47"/>
      <c r="OOL37" s="47"/>
      <c r="OOM37" s="47"/>
      <c r="OON37" s="47"/>
      <c r="OOO37" s="47"/>
      <c r="OOP37" s="47"/>
      <c r="OOQ37" s="47"/>
      <c r="OOR37" s="47"/>
      <c r="OOS37" s="47"/>
      <c r="OOT37" s="47"/>
      <c r="OOU37" s="47"/>
      <c r="OOV37" s="47"/>
      <c r="OOW37" s="47"/>
      <c r="OOX37" s="47"/>
      <c r="OOY37" s="47"/>
      <c r="OOZ37" s="47"/>
      <c r="OPA37" s="47"/>
      <c r="OPB37" s="47"/>
      <c r="OPC37" s="47"/>
      <c r="OPD37" s="47"/>
      <c r="OPE37" s="47"/>
      <c r="OPF37" s="47"/>
      <c r="OPG37" s="47"/>
      <c r="OPH37" s="47"/>
      <c r="OPI37" s="47"/>
      <c r="OPJ37" s="47"/>
      <c r="OPK37" s="47"/>
      <c r="OPL37" s="47"/>
      <c r="OPM37" s="47"/>
      <c r="OPN37" s="47"/>
      <c r="OPO37" s="47"/>
      <c r="OPP37" s="47"/>
      <c r="OPQ37" s="47"/>
      <c r="OPR37" s="47"/>
      <c r="OPS37" s="47"/>
      <c r="OPT37" s="47"/>
      <c r="OPU37" s="47"/>
      <c r="OPV37" s="47"/>
      <c r="OPW37" s="47"/>
      <c r="OPX37" s="47"/>
      <c r="OPY37" s="47"/>
      <c r="OPZ37" s="47"/>
      <c r="OQA37" s="47"/>
      <c r="OQB37" s="47"/>
      <c r="OQC37" s="47"/>
      <c r="OQD37" s="47"/>
      <c r="OQE37" s="47"/>
      <c r="OQF37" s="47"/>
      <c r="OQG37" s="47"/>
      <c r="OQH37" s="47"/>
      <c r="OQI37" s="47"/>
      <c r="OQJ37" s="47"/>
      <c r="OQK37" s="47"/>
      <c r="OQL37" s="47"/>
      <c r="OQM37" s="47"/>
      <c r="OQN37" s="47"/>
      <c r="OQO37" s="47"/>
      <c r="OQP37" s="47"/>
      <c r="OQQ37" s="47"/>
      <c r="OQR37" s="47"/>
      <c r="OQS37" s="47"/>
      <c r="OQT37" s="47"/>
      <c r="OQU37" s="47"/>
      <c r="OQV37" s="47"/>
      <c r="OQW37" s="47"/>
      <c r="OQX37" s="47"/>
      <c r="OQY37" s="47"/>
      <c r="OQZ37" s="47"/>
      <c r="ORA37" s="47"/>
      <c r="ORB37" s="47"/>
      <c r="ORC37" s="47"/>
      <c r="ORD37" s="47"/>
      <c r="ORE37" s="47"/>
      <c r="ORF37" s="47"/>
      <c r="ORG37" s="47"/>
      <c r="ORH37" s="47"/>
      <c r="ORI37" s="47"/>
      <c r="ORJ37" s="47"/>
      <c r="ORK37" s="47"/>
      <c r="ORL37" s="47"/>
      <c r="ORM37" s="47"/>
      <c r="ORN37" s="47"/>
      <c r="ORO37" s="47"/>
      <c r="ORP37" s="47"/>
      <c r="ORQ37" s="47"/>
      <c r="ORR37" s="47"/>
      <c r="ORS37" s="47"/>
      <c r="ORT37" s="47"/>
      <c r="ORU37" s="47"/>
      <c r="ORV37" s="47"/>
      <c r="ORW37" s="47"/>
      <c r="ORX37" s="47"/>
      <c r="ORY37" s="47"/>
      <c r="ORZ37" s="47"/>
      <c r="OSA37" s="47"/>
      <c r="OSB37" s="47"/>
      <c r="OSC37" s="47"/>
      <c r="OSD37" s="47"/>
      <c r="OSE37" s="47"/>
      <c r="OSF37" s="47"/>
      <c r="OSG37" s="47"/>
      <c r="OSH37" s="47"/>
      <c r="OSI37" s="47"/>
      <c r="OSJ37" s="47"/>
      <c r="OSK37" s="47"/>
      <c r="OSL37" s="47"/>
      <c r="OSM37" s="47"/>
      <c r="OSN37" s="47"/>
      <c r="OSO37" s="47"/>
      <c r="OSP37" s="47"/>
      <c r="OSQ37" s="47"/>
      <c r="OSR37" s="47"/>
      <c r="OSS37" s="47"/>
      <c r="OST37" s="47"/>
      <c r="OSU37" s="47"/>
      <c r="OSV37" s="47"/>
      <c r="OSW37" s="47"/>
      <c r="OSX37" s="47"/>
      <c r="OSY37" s="47"/>
      <c r="OSZ37" s="47"/>
      <c r="OTA37" s="47"/>
      <c r="OTB37" s="47"/>
      <c r="OTC37" s="47"/>
      <c r="OTD37" s="47"/>
      <c r="OTE37" s="47"/>
      <c r="OTF37" s="47"/>
      <c r="OTG37" s="47"/>
      <c r="OTH37" s="47"/>
      <c r="OTI37" s="47"/>
      <c r="OTJ37" s="47"/>
      <c r="OTK37" s="47"/>
      <c r="OTL37" s="47"/>
      <c r="OTM37" s="47"/>
      <c r="OTN37" s="47"/>
      <c r="OTO37" s="47"/>
      <c r="OTP37" s="47"/>
      <c r="OTQ37" s="47"/>
      <c r="OTR37" s="47"/>
      <c r="OTS37" s="47"/>
      <c r="OTT37" s="47"/>
      <c r="OTU37" s="47"/>
      <c r="OTV37" s="47"/>
      <c r="OTW37" s="47"/>
      <c r="OTX37" s="47"/>
      <c r="OTY37" s="47"/>
      <c r="OTZ37" s="47"/>
      <c r="OUA37" s="47"/>
      <c r="OUB37" s="47"/>
      <c r="OUC37" s="47"/>
      <c r="OUD37" s="47"/>
      <c r="OUE37" s="47"/>
      <c r="OUF37" s="47"/>
      <c r="OUG37" s="47"/>
      <c r="OUH37" s="47"/>
      <c r="OUI37" s="47"/>
      <c r="OUJ37" s="47"/>
      <c r="OUK37" s="47"/>
      <c r="OUL37" s="47"/>
      <c r="OUM37" s="47"/>
      <c r="OUN37" s="47"/>
      <c r="OUO37" s="47"/>
      <c r="OUP37" s="47"/>
      <c r="OUQ37" s="47"/>
      <c r="OUR37" s="47"/>
      <c r="OUS37" s="47"/>
      <c r="OUT37" s="47"/>
      <c r="OUU37" s="47"/>
      <c r="OUV37" s="47"/>
      <c r="OUW37" s="47"/>
      <c r="OUX37" s="47"/>
      <c r="OUY37" s="47"/>
      <c r="OUZ37" s="47"/>
      <c r="OVA37" s="47"/>
      <c r="OVB37" s="47"/>
      <c r="OVC37" s="47"/>
      <c r="OVD37" s="47"/>
      <c r="OVE37" s="47"/>
      <c r="OVF37" s="47"/>
      <c r="OVG37" s="47"/>
      <c r="OVH37" s="47"/>
      <c r="OVI37" s="47"/>
      <c r="OVJ37" s="47"/>
      <c r="OVK37" s="47"/>
      <c r="OVL37" s="47"/>
      <c r="OVM37" s="47"/>
      <c r="OVN37" s="47"/>
      <c r="OVO37" s="47"/>
      <c r="OVP37" s="47"/>
      <c r="OVQ37" s="47"/>
      <c r="OVR37" s="47"/>
      <c r="OVS37" s="47"/>
      <c r="OVT37" s="47"/>
      <c r="OVU37" s="47"/>
      <c r="OVV37" s="47"/>
      <c r="OVW37" s="47"/>
      <c r="OVX37" s="47"/>
      <c r="OVY37" s="47"/>
      <c r="OVZ37" s="47"/>
      <c r="OWA37" s="47"/>
      <c r="OWB37" s="47"/>
      <c r="OWC37" s="47"/>
      <c r="OWD37" s="47"/>
      <c r="OWE37" s="47"/>
      <c r="OWF37" s="47"/>
      <c r="OWG37" s="47"/>
      <c r="OWH37" s="47"/>
      <c r="OWI37" s="47"/>
      <c r="OWJ37" s="47"/>
      <c r="OWK37" s="47"/>
      <c r="OWL37" s="47"/>
      <c r="OWM37" s="47"/>
      <c r="OWN37" s="47"/>
      <c r="OWO37" s="47"/>
      <c r="OWP37" s="47"/>
      <c r="OWQ37" s="47"/>
      <c r="OWR37" s="47"/>
      <c r="OWS37" s="47"/>
      <c r="OWT37" s="47"/>
      <c r="OWU37" s="47"/>
      <c r="OWV37" s="47"/>
      <c r="OWW37" s="47"/>
      <c r="OWX37" s="47"/>
      <c r="OWY37" s="47"/>
      <c r="OWZ37" s="47"/>
      <c r="OXA37" s="47"/>
      <c r="OXB37" s="47"/>
      <c r="OXC37" s="47"/>
      <c r="OXD37" s="47"/>
      <c r="OXE37" s="47"/>
      <c r="OXF37" s="47"/>
      <c r="OXG37" s="47"/>
      <c r="OXH37" s="47"/>
      <c r="OXI37" s="47"/>
      <c r="OXJ37" s="47"/>
      <c r="OXK37" s="47"/>
      <c r="OXL37" s="47"/>
      <c r="OXM37" s="47"/>
      <c r="OXN37" s="47"/>
      <c r="OXO37" s="47"/>
      <c r="OXP37" s="47"/>
      <c r="OXQ37" s="47"/>
      <c r="OXR37" s="47"/>
      <c r="OXS37" s="47"/>
      <c r="OXT37" s="47"/>
      <c r="OXU37" s="47"/>
      <c r="OXV37" s="47"/>
      <c r="OXW37" s="47"/>
      <c r="OXX37" s="47"/>
      <c r="OXY37" s="47"/>
      <c r="OXZ37" s="47"/>
      <c r="OYA37" s="47"/>
      <c r="OYB37" s="47"/>
      <c r="OYC37" s="47"/>
      <c r="OYD37" s="47"/>
      <c r="OYE37" s="47"/>
      <c r="OYF37" s="47"/>
      <c r="OYG37" s="47"/>
      <c r="OYH37" s="47"/>
      <c r="OYI37" s="47"/>
      <c r="OYJ37" s="47"/>
      <c r="OYK37" s="47"/>
      <c r="OYL37" s="47"/>
      <c r="OYM37" s="47"/>
      <c r="OYN37" s="47"/>
      <c r="OYO37" s="47"/>
      <c r="OYP37" s="47"/>
      <c r="OYQ37" s="47"/>
      <c r="OYR37" s="47"/>
      <c r="OYS37" s="47"/>
      <c r="OYT37" s="47"/>
      <c r="OYU37" s="47"/>
      <c r="OYV37" s="47"/>
      <c r="OYW37" s="47"/>
      <c r="OYX37" s="47"/>
      <c r="OYY37" s="47"/>
      <c r="OYZ37" s="47"/>
      <c r="OZA37" s="47"/>
      <c r="OZB37" s="47"/>
      <c r="OZC37" s="47"/>
      <c r="OZD37" s="47"/>
      <c r="OZE37" s="47"/>
      <c r="OZF37" s="47"/>
      <c r="OZG37" s="47"/>
      <c r="OZH37" s="47"/>
      <c r="OZI37" s="47"/>
      <c r="OZJ37" s="47"/>
      <c r="OZK37" s="47"/>
      <c r="OZL37" s="47"/>
      <c r="OZM37" s="47"/>
      <c r="OZN37" s="47"/>
      <c r="OZO37" s="47"/>
      <c r="OZP37" s="47"/>
      <c r="OZQ37" s="47"/>
      <c r="OZR37" s="47"/>
      <c r="OZS37" s="47"/>
      <c r="OZT37" s="47"/>
      <c r="OZU37" s="47"/>
      <c r="OZV37" s="47"/>
      <c r="OZW37" s="47"/>
      <c r="OZX37" s="47"/>
      <c r="OZY37" s="47"/>
      <c r="OZZ37" s="47"/>
      <c r="PAA37" s="47"/>
      <c r="PAB37" s="47"/>
      <c r="PAC37" s="47"/>
      <c r="PAD37" s="47"/>
      <c r="PAE37" s="47"/>
      <c r="PAF37" s="47"/>
      <c r="PAG37" s="47"/>
      <c r="PAH37" s="47"/>
      <c r="PAI37" s="47"/>
      <c r="PAJ37" s="47"/>
      <c r="PAK37" s="47"/>
      <c r="PAL37" s="47"/>
      <c r="PAM37" s="47"/>
      <c r="PAN37" s="47"/>
      <c r="PAO37" s="47"/>
      <c r="PAP37" s="47"/>
      <c r="PAQ37" s="47"/>
      <c r="PAR37" s="47"/>
      <c r="PAS37" s="47"/>
      <c r="PAT37" s="47"/>
      <c r="PAU37" s="47"/>
      <c r="PAV37" s="47"/>
      <c r="PAW37" s="47"/>
      <c r="PAX37" s="47"/>
      <c r="PAY37" s="47"/>
      <c r="PAZ37" s="47"/>
      <c r="PBA37" s="47"/>
      <c r="PBB37" s="47"/>
      <c r="PBC37" s="47"/>
      <c r="PBD37" s="47"/>
      <c r="PBE37" s="47"/>
      <c r="PBF37" s="47"/>
      <c r="PBG37" s="47"/>
      <c r="PBH37" s="47"/>
      <c r="PBI37" s="47"/>
      <c r="PBJ37" s="47"/>
      <c r="PBK37" s="47"/>
      <c r="PBL37" s="47"/>
      <c r="PBM37" s="47"/>
      <c r="PBN37" s="47"/>
      <c r="PBO37" s="47"/>
      <c r="PBP37" s="47"/>
      <c r="PBQ37" s="47"/>
      <c r="PBR37" s="47"/>
      <c r="PBS37" s="47"/>
      <c r="PBT37" s="47"/>
      <c r="PBU37" s="47"/>
      <c r="PBV37" s="47"/>
      <c r="PBW37" s="47"/>
      <c r="PBX37" s="47"/>
      <c r="PBY37" s="47"/>
      <c r="PBZ37" s="47"/>
      <c r="PCA37" s="47"/>
      <c r="PCB37" s="47"/>
      <c r="PCC37" s="47"/>
      <c r="PCD37" s="47"/>
      <c r="PCE37" s="47"/>
      <c r="PCF37" s="47"/>
      <c r="PCG37" s="47"/>
      <c r="PCH37" s="47"/>
      <c r="PCI37" s="47"/>
      <c r="PCJ37" s="47"/>
      <c r="PCK37" s="47"/>
      <c r="PCL37" s="47"/>
      <c r="PCM37" s="47"/>
      <c r="PCN37" s="47"/>
      <c r="PCO37" s="47"/>
      <c r="PCP37" s="47"/>
      <c r="PCQ37" s="47"/>
      <c r="PCR37" s="47"/>
      <c r="PCS37" s="47"/>
      <c r="PCT37" s="47"/>
      <c r="PCU37" s="47"/>
      <c r="PCV37" s="47"/>
      <c r="PCW37" s="47"/>
      <c r="PCX37" s="47"/>
      <c r="PCY37" s="47"/>
      <c r="PCZ37" s="47"/>
      <c r="PDA37" s="47"/>
      <c r="PDB37" s="47"/>
      <c r="PDC37" s="47"/>
      <c r="PDD37" s="47"/>
      <c r="PDE37" s="47"/>
      <c r="PDF37" s="47"/>
      <c r="PDG37" s="47"/>
      <c r="PDH37" s="47"/>
      <c r="PDI37" s="47"/>
      <c r="PDJ37" s="47"/>
      <c r="PDK37" s="47"/>
      <c r="PDL37" s="47"/>
      <c r="PDM37" s="47"/>
      <c r="PDN37" s="47"/>
      <c r="PDO37" s="47"/>
      <c r="PDP37" s="47"/>
      <c r="PDQ37" s="47"/>
      <c r="PDR37" s="47"/>
      <c r="PDS37" s="47"/>
      <c r="PDT37" s="47"/>
      <c r="PDU37" s="47"/>
      <c r="PDV37" s="47"/>
      <c r="PDW37" s="47"/>
      <c r="PDX37" s="47"/>
      <c r="PDY37" s="47"/>
      <c r="PDZ37" s="47"/>
      <c r="PEA37" s="47"/>
      <c r="PEB37" s="47"/>
      <c r="PEC37" s="47"/>
      <c r="PED37" s="47"/>
      <c r="PEE37" s="47"/>
      <c r="PEF37" s="47"/>
      <c r="PEG37" s="47"/>
      <c r="PEH37" s="47"/>
      <c r="PEI37" s="47"/>
      <c r="PEJ37" s="47"/>
      <c r="PEK37" s="47"/>
      <c r="PEL37" s="47"/>
      <c r="PEM37" s="47"/>
      <c r="PEN37" s="47"/>
      <c r="PEO37" s="47"/>
      <c r="PEP37" s="47"/>
      <c r="PEQ37" s="47"/>
      <c r="PER37" s="47"/>
      <c r="PES37" s="47"/>
      <c r="PET37" s="47"/>
      <c r="PEU37" s="47"/>
      <c r="PEV37" s="47"/>
      <c r="PEW37" s="47"/>
      <c r="PEX37" s="47"/>
      <c r="PEY37" s="47"/>
      <c r="PEZ37" s="47"/>
      <c r="PFA37" s="47"/>
      <c r="PFB37" s="47"/>
      <c r="PFC37" s="47"/>
      <c r="PFD37" s="47"/>
      <c r="PFE37" s="47"/>
      <c r="PFF37" s="47"/>
      <c r="PFG37" s="47"/>
      <c r="PFH37" s="47"/>
      <c r="PFI37" s="47"/>
      <c r="PFJ37" s="47"/>
      <c r="PFK37" s="47"/>
      <c r="PFL37" s="47"/>
      <c r="PFM37" s="47"/>
      <c r="PFN37" s="47"/>
      <c r="PFO37" s="47"/>
      <c r="PFP37" s="47"/>
      <c r="PFQ37" s="47"/>
      <c r="PFR37" s="47"/>
      <c r="PFS37" s="47"/>
      <c r="PFT37" s="47"/>
      <c r="PFU37" s="47"/>
      <c r="PFV37" s="47"/>
      <c r="PFW37" s="47"/>
      <c r="PFX37" s="47"/>
      <c r="PFY37" s="47"/>
      <c r="PFZ37" s="47"/>
      <c r="PGA37" s="47"/>
      <c r="PGB37" s="47"/>
      <c r="PGC37" s="47"/>
      <c r="PGD37" s="47"/>
      <c r="PGE37" s="47"/>
      <c r="PGF37" s="47"/>
      <c r="PGG37" s="47"/>
      <c r="PGH37" s="47"/>
      <c r="PGI37" s="47"/>
      <c r="PGJ37" s="47"/>
      <c r="PGK37" s="47"/>
      <c r="PGL37" s="47"/>
      <c r="PGM37" s="47"/>
      <c r="PGN37" s="47"/>
      <c r="PGO37" s="47"/>
      <c r="PGP37" s="47"/>
      <c r="PGQ37" s="47"/>
      <c r="PGR37" s="47"/>
      <c r="PGS37" s="47"/>
      <c r="PGT37" s="47"/>
      <c r="PGU37" s="47"/>
      <c r="PGV37" s="47"/>
      <c r="PGW37" s="47"/>
      <c r="PGX37" s="47"/>
      <c r="PGY37" s="47"/>
      <c r="PGZ37" s="47"/>
      <c r="PHA37" s="47"/>
      <c r="PHB37" s="47"/>
      <c r="PHC37" s="47"/>
      <c r="PHD37" s="47"/>
      <c r="PHE37" s="47"/>
      <c r="PHF37" s="47"/>
      <c r="PHG37" s="47"/>
      <c r="PHH37" s="47"/>
      <c r="PHI37" s="47"/>
      <c r="PHJ37" s="47"/>
      <c r="PHK37" s="47"/>
      <c r="PHL37" s="47"/>
      <c r="PHM37" s="47"/>
      <c r="PHN37" s="47"/>
      <c r="PHO37" s="47"/>
      <c r="PHP37" s="47"/>
      <c r="PHQ37" s="47"/>
      <c r="PHR37" s="47"/>
      <c r="PHS37" s="47"/>
      <c r="PHT37" s="47"/>
      <c r="PHU37" s="47"/>
      <c r="PHV37" s="47"/>
      <c r="PHW37" s="47"/>
      <c r="PHX37" s="47"/>
      <c r="PHY37" s="47"/>
      <c r="PHZ37" s="47"/>
      <c r="PIA37" s="47"/>
      <c r="PIB37" s="47"/>
      <c r="PIC37" s="47"/>
      <c r="PID37" s="47"/>
      <c r="PIE37" s="47"/>
      <c r="PIF37" s="47"/>
      <c r="PIG37" s="47"/>
      <c r="PIH37" s="47"/>
      <c r="PII37" s="47"/>
      <c r="PIJ37" s="47"/>
      <c r="PIK37" s="47"/>
      <c r="PIL37" s="47"/>
      <c r="PIM37" s="47"/>
      <c r="PIN37" s="47"/>
      <c r="PIO37" s="47"/>
      <c r="PIP37" s="47"/>
      <c r="PIQ37" s="47"/>
      <c r="PIR37" s="47"/>
      <c r="PIS37" s="47"/>
      <c r="PIT37" s="47"/>
      <c r="PIU37" s="47"/>
      <c r="PIV37" s="47"/>
      <c r="PIW37" s="47"/>
      <c r="PIX37" s="47"/>
      <c r="PIY37" s="47"/>
      <c r="PIZ37" s="47"/>
      <c r="PJA37" s="47"/>
      <c r="PJB37" s="47"/>
      <c r="PJC37" s="47"/>
      <c r="PJD37" s="47"/>
      <c r="PJE37" s="47"/>
      <c r="PJF37" s="47"/>
      <c r="PJG37" s="47"/>
      <c r="PJH37" s="47"/>
      <c r="PJI37" s="47"/>
      <c r="PJJ37" s="47"/>
      <c r="PJK37" s="47"/>
      <c r="PJL37" s="47"/>
      <c r="PJM37" s="47"/>
      <c r="PJN37" s="47"/>
      <c r="PJO37" s="47"/>
      <c r="PJP37" s="47"/>
      <c r="PJQ37" s="47"/>
      <c r="PJR37" s="47"/>
      <c r="PJS37" s="47"/>
      <c r="PJT37" s="47"/>
      <c r="PJU37" s="47"/>
      <c r="PJV37" s="47"/>
      <c r="PJW37" s="47"/>
      <c r="PJX37" s="47"/>
      <c r="PJY37" s="47"/>
      <c r="PJZ37" s="47"/>
      <c r="PKA37" s="47"/>
      <c r="PKB37" s="47"/>
      <c r="PKC37" s="47"/>
      <c r="PKD37" s="47"/>
      <c r="PKE37" s="47"/>
      <c r="PKF37" s="47"/>
      <c r="PKG37" s="47"/>
      <c r="PKH37" s="47"/>
      <c r="PKI37" s="47"/>
      <c r="PKJ37" s="47"/>
      <c r="PKK37" s="47"/>
      <c r="PKL37" s="47"/>
      <c r="PKM37" s="47"/>
      <c r="PKN37" s="47"/>
      <c r="PKO37" s="47"/>
      <c r="PKP37" s="47"/>
      <c r="PKQ37" s="47"/>
      <c r="PKR37" s="47"/>
      <c r="PKS37" s="47"/>
      <c r="PKT37" s="47"/>
      <c r="PKU37" s="47"/>
      <c r="PKV37" s="47"/>
      <c r="PKW37" s="47"/>
      <c r="PKX37" s="47"/>
      <c r="PKY37" s="47"/>
      <c r="PKZ37" s="47"/>
      <c r="PLA37" s="47"/>
      <c r="PLB37" s="47"/>
      <c r="PLC37" s="47"/>
      <c r="PLD37" s="47"/>
      <c r="PLE37" s="47"/>
      <c r="PLF37" s="47"/>
      <c r="PLG37" s="47"/>
      <c r="PLH37" s="47"/>
      <c r="PLI37" s="47"/>
      <c r="PLJ37" s="47"/>
      <c r="PLK37" s="47"/>
      <c r="PLL37" s="47"/>
      <c r="PLM37" s="47"/>
      <c r="PLN37" s="47"/>
      <c r="PLO37" s="47"/>
      <c r="PLP37" s="47"/>
      <c r="PLQ37" s="47"/>
      <c r="PLR37" s="47"/>
      <c r="PLS37" s="47"/>
      <c r="PLT37" s="47"/>
      <c r="PLU37" s="47"/>
      <c r="PLV37" s="47"/>
      <c r="PLW37" s="47"/>
      <c r="PLX37" s="47"/>
      <c r="PLY37" s="47"/>
      <c r="PLZ37" s="47"/>
      <c r="PMA37" s="47"/>
      <c r="PMB37" s="47"/>
      <c r="PMC37" s="47"/>
      <c r="PMD37" s="47"/>
      <c r="PME37" s="47"/>
      <c r="PMF37" s="47"/>
      <c r="PMG37" s="47"/>
      <c r="PMH37" s="47"/>
      <c r="PMI37" s="47"/>
      <c r="PMJ37" s="47"/>
      <c r="PMK37" s="47"/>
      <c r="PML37" s="47"/>
      <c r="PMM37" s="47"/>
      <c r="PMN37" s="47"/>
      <c r="PMO37" s="47"/>
      <c r="PMP37" s="47"/>
      <c r="PMQ37" s="47"/>
      <c r="PMR37" s="47"/>
      <c r="PMS37" s="47"/>
      <c r="PMT37" s="47"/>
      <c r="PMU37" s="47"/>
      <c r="PMV37" s="47"/>
      <c r="PMW37" s="47"/>
      <c r="PMX37" s="47"/>
      <c r="PMY37" s="47"/>
      <c r="PMZ37" s="47"/>
      <c r="PNA37" s="47"/>
      <c r="PNB37" s="47"/>
      <c r="PNC37" s="47"/>
      <c r="PND37" s="47"/>
      <c r="PNE37" s="47"/>
      <c r="PNF37" s="47"/>
      <c r="PNG37" s="47"/>
      <c r="PNH37" s="47"/>
      <c r="PNI37" s="47"/>
      <c r="PNJ37" s="47"/>
      <c r="PNK37" s="47"/>
      <c r="PNL37" s="47"/>
      <c r="PNM37" s="47"/>
      <c r="PNN37" s="47"/>
      <c r="PNO37" s="47"/>
      <c r="PNP37" s="47"/>
      <c r="PNQ37" s="47"/>
      <c r="PNR37" s="47"/>
      <c r="PNS37" s="47"/>
      <c r="PNT37" s="47"/>
      <c r="PNU37" s="47"/>
      <c r="PNV37" s="47"/>
      <c r="PNW37" s="47"/>
      <c r="PNX37" s="47"/>
      <c r="PNY37" s="47"/>
      <c r="PNZ37" s="47"/>
      <c r="POA37" s="47"/>
      <c r="POB37" s="47"/>
      <c r="POC37" s="47"/>
      <c r="POD37" s="47"/>
      <c r="POE37" s="47"/>
      <c r="POF37" s="47"/>
      <c r="POG37" s="47"/>
      <c r="POH37" s="47"/>
      <c r="POI37" s="47"/>
      <c r="POJ37" s="47"/>
      <c r="POK37" s="47"/>
      <c r="POL37" s="47"/>
      <c r="POM37" s="47"/>
      <c r="PON37" s="47"/>
      <c r="POO37" s="47"/>
      <c r="POP37" s="47"/>
      <c r="POQ37" s="47"/>
      <c r="POR37" s="47"/>
      <c r="POS37" s="47"/>
      <c r="POT37" s="47"/>
      <c r="POU37" s="47"/>
      <c r="POV37" s="47"/>
      <c r="POW37" s="47"/>
      <c r="POX37" s="47"/>
      <c r="POY37" s="47"/>
      <c r="POZ37" s="47"/>
      <c r="PPA37" s="47"/>
      <c r="PPB37" s="47"/>
      <c r="PPC37" s="47"/>
      <c r="PPD37" s="47"/>
      <c r="PPE37" s="47"/>
      <c r="PPF37" s="47"/>
      <c r="PPG37" s="47"/>
      <c r="PPH37" s="47"/>
      <c r="PPI37" s="47"/>
      <c r="PPJ37" s="47"/>
      <c r="PPK37" s="47"/>
      <c r="PPL37" s="47"/>
      <c r="PPM37" s="47"/>
      <c r="PPN37" s="47"/>
      <c r="PPO37" s="47"/>
      <c r="PPP37" s="47"/>
      <c r="PPQ37" s="47"/>
      <c r="PPR37" s="47"/>
      <c r="PPS37" s="47"/>
      <c r="PPT37" s="47"/>
      <c r="PPU37" s="47"/>
      <c r="PPV37" s="47"/>
      <c r="PPW37" s="47"/>
      <c r="PPX37" s="47"/>
      <c r="PPY37" s="47"/>
      <c r="PPZ37" s="47"/>
      <c r="PQA37" s="47"/>
      <c r="PQB37" s="47"/>
      <c r="PQC37" s="47"/>
      <c r="PQD37" s="47"/>
      <c r="PQE37" s="47"/>
      <c r="PQF37" s="47"/>
      <c r="PQG37" s="47"/>
      <c r="PQH37" s="47"/>
      <c r="PQI37" s="47"/>
      <c r="PQJ37" s="47"/>
      <c r="PQK37" s="47"/>
      <c r="PQL37" s="47"/>
      <c r="PQM37" s="47"/>
      <c r="PQN37" s="47"/>
      <c r="PQO37" s="47"/>
      <c r="PQP37" s="47"/>
      <c r="PQQ37" s="47"/>
      <c r="PQR37" s="47"/>
      <c r="PQS37" s="47"/>
      <c r="PQT37" s="47"/>
      <c r="PQU37" s="47"/>
      <c r="PQV37" s="47"/>
      <c r="PQW37" s="47"/>
      <c r="PQX37" s="47"/>
      <c r="PQY37" s="47"/>
      <c r="PQZ37" s="47"/>
      <c r="PRA37" s="47"/>
      <c r="PRB37" s="47"/>
      <c r="PRC37" s="47"/>
      <c r="PRD37" s="47"/>
      <c r="PRE37" s="47"/>
      <c r="PRF37" s="47"/>
      <c r="PRG37" s="47"/>
      <c r="PRH37" s="47"/>
      <c r="PRI37" s="47"/>
      <c r="PRJ37" s="47"/>
      <c r="PRK37" s="47"/>
      <c r="PRL37" s="47"/>
      <c r="PRM37" s="47"/>
      <c r="PRN37" s="47"/>
      <c r="PRO37" s="47"/>
      <c r="PRP37" s="47"/>
      <c r="PRQ37" s="47"/>
      <c r="PRR37" s="47"/>
      <c r="PRS37" s="47"/>
      <c r="PRT37" s="47"/>
      <c r="PRU37" s="47"/>
      <c r="PRV37" s="47"/>
      <c r="PRW37" s="47"/>
      <c r="PRX37" s="47"/>
      <c r="PRY37" s="47"/>
      <c r="PRZ37" s="47"/>
      <c r="PSA37" s="47"/>
      <c r="PSB37" s="47"/>
      <c r="PSC37" s="47"/>
      <c r="PSD37" s="47"/>
      <c r="PSE37" s="47"/>
      <c r="PSF37" s="47"/>
      <c r="PSG37" s="47"/>
      <c r="PSH37" s="47"/>
      <c r="PSI37" s="47"/>
      <c r="PSJ37" s="47"/>
      <c r="PSK37" s="47"/>
      <c r="PSL37" s="47"/>
      <c r="PSM37" s="47"/>
      <c r="PSN37" s="47"/>
      <c r="PSO37" s="47"/>
      <c r="PSP37" s="47"/>
      <c r="PSQ37" s="47"/>
      <c r="PSR37" s="47"/>
      <c r="PSS37" s="47"/>
      <c r="PST37" s="47"/>
      <c r="PSU37" s="47"/>
      <c r="PSV37" s="47"/>
      <c r="PSW37" s="47"/>
      <c r="PSX37" s="47"/>
      <c r="PSY37" s="47"/>
      <c r="PSZ37" s="47"/>
      <c r="PTA37" s="47"/>
      <c r="PTB37" s="47"/>
      <c r="PTC37" s="47"/>
      <c r="PTD37" s="47"/>
      <c r="PTE37" s="47"/>
      <c r="PTF37" s="47"/>
      <c r="PTG37" s="47"/>
      <c r="PTH37" s="47"/>
      <c r="PTI37" s="47"/>
      <c r="PTJ37" s="47"/>
      <c r="PTK37" s="47"/>
      <c r="PTL37" s="47"/>
      <c r="PTM37" s="47"/>
      <c r="PTN37" s="47"/>
      <c r="PTO37" s="47"/>
      <c r="PTP37" s="47"/>
      <c r="PTQ37" s="47"/>
      <c r="PTR37" s="47"/>
      <c r="PTS37" s="47"/>
      <c r="PTT37" s="47"/>
      <c r="PTU37" s="47"/>
      <c r="PTV37" s="47"/>
      <c r="PTW37" s="47"/>
      <c r="PTX37" s="47"/>
      <c r="PTY37" s="47"/>
      <c r="PTZ37" s="47"/>
      <c r="PUA37" s="47"/>
      <c r="PUB37" s="47"/>
      <c r="PUC37" s="47"/>
      <c r="PUD37" s="47"/>
      <c r="PUE37" s="47"/>
      <c r="PUF37" s="47"/>
      <c r="PUG37" s="47"/>
      <c r="PUH37" s="47"/>
      <c r="PUI37" s="47"/>
      <c r="PUJ37" s="47"/>
      <c r="PUK37" s="47"/>
      <c r="PUL37" s="47"/>
      <c r="PUM37" s="47"/>
      <c r="PUN37" s="47"/>
      <c r="PUO37" s="47"/>
      <c r="PUP37" s="47"/>
      <c r="PUQ37" s="47"/>
      <c r="PUR37" s="47"/>
      <c r="PUS37" s="47"/>
      <c r="PUT37" s="47"/>
      <c r="PUU37" s="47"/>
      <c r="PUV37" s="47"/>
      <c r="PUW37" s="47"/>
      <c r="PUX37" s="47"/>
      <c r="PUY37" s="47"/>
      <c r="PUZ37" s="47"/>
      <c r="PVA37" s="47"/>
      <c r="PVB37" s="47"/>
      <c r="PVC37" s="47"/>
      <c r="PVD37" s="47"/>
      <c r="PVE37" s="47"/>
      <c r="PVF37" s="47"/>
      <c r="PVG37" s="47"/>
      <c r="PVH37" s="47"/>
      <c r="PVI37" s="47"/>
      <c r="PVJ37" s="47"/>
      <c r="PVK37" s="47"/>
      <c r="PVL37" s="47"/>
      <c r="PVM37" s="47"/>
      <c r="PVN37" s="47"/>
      <c r="PVO37" s="47"/>
      <c r="PVP37" s="47"/>
      <c r="PVQ37" s="47"/>
      <c r="PVR37" s="47"/>
      <c r="PVS37" s="47"/>
      <c r="PVT37" s="47"/>
      <c r="PVU37" s="47"/>
      <c r="PVV37" s="47"/>
      <c r="PVW37" s="47"/>
      <c r="PVX37" s="47"/>
      <c r="PVY37" s="47"/>
      <c r="PVZ37" s="47"/>
      <c r="PWA37" s="47"/>
      <c r="PWB37" s="47"/>
      <c r="PWC37" s="47"/>
      <c r="PWD37" s="47"/>
      <c r="PWE37" s="47"/>
      <c r="PWF37" s="47"/>
      <c r="PWG37" s="47"/>
      <c r="PWH37" s="47"/>
      <c r="PWI37" s="47"/>
      <c r="PWJ37" s="47"/>
      <c r="PWK37" s="47"/>
      <c r="PWL37" s="47"/>
      <c r="PWM37" s="47"/>
      <c r="PWN37" s="47"/>
      <c r="PWO37" s="47"/>
      <c r="PWP37" s="47"/>
      <c r="PWQ37" s="47"/>
      <c r="PWR37" s="47"/>
      <c r="PWS37" s="47"/>
      <c r="PWT37" s="47"/>
      <c r="PWU37" s="47"/>
      <c r="PWV37" s="47"/>
      <c r="PWW37" s="47"/>
      <c r="PWX37" s="47"/>
      <c r="PWY37" s="47"/>
      <c r="PWZ37" s="47"/>
      <c r="PXA37" s="47"/>
      <c r="PXB37" s="47"/>
      <c r="PXC37" s="47"/>
      <c r="PXD37" s="47"/>
      <c r="PXE37" s="47"/>
      <c r="PXF37" s="47"/>
      <c r="PXG37" s="47"/>
      <c r="PXH37" s="47"/>
      <c r="PXI37" s="47"/>
      <c r="PXJ37" s="47"/>
      <c r="PXK37" s="47"/>
      <c r="PXL37" s="47"/>
      <c r="PXM37" s="47"/>
      <c r="PXN37" s="47"/>
      <c r="PXO37" s="47"/>
      <c r="PXP37" s="47"/>
      <c r="PXQ37" s="47"/>
      <c r="PXR37" s="47"/>
      <c r="PXS37" s="47"/>
      <c r="PXT37" s="47"/>
      <c r="PXU37" s="47"/>
      <c r="PXV37" s="47"/>
      <c r="PXW37" s="47"/>
      <c r="PXX37" s="47"/>
      <c r="PXY37" s="47"/>
      <c r="PXZ37" s="47"/>
      <c r="PYA37" s="47"/>
      <c r="PYB37" s="47"/>
      <c r="PYC37" s="47"/>
      <c r="PYD37" s="47"/>
      <c r="PYE37" s="47"/>
      <c r="PYF37" s="47"/>
      <c r="PYG37" s="47"/>
      <c r="PYH37" s="47"/>
      <c r="PYI37" s="47"/>
      <c r="PYJ37" s="47"/>
      <c r="PYK37" s="47"/>
      <c r="PYL37" s="47"/>
      <c r="PYM37" s="47"/>
      <c r="PYN37" s="47"/>
      <c r="PYO37" s="47"/>
      <c r="PYP37" s="47"/>
      <c r="PYQ37" s="47"/>
      <c r="PYR37" s="47"/>
      <c r="PYS37" s="47"/>
      <c r="PYT37" s="47"/>
      <c r="PYU37" s="47"/>
      <c r="PYV37" s="47"/>
      <c r="PYW37" s="47"/>
      <c r="PYX37" s="47"/>
      <c r="PYY37" s="47"/>
      <c r="PYZ37" s="47"/>
      <c r="PZA37" s="47"/>
      <c r="PZB37" s="47"/>
      <c r="PZC37" s="47"/>
      <c r="PZD37" s="47"/>
      <c r="PZE37" s="47"/>
      <c r="PZF37" s="47"/>
      <c r="PZG37" s="47"/>
      <c r="PZH37" s="47"/>
      <c r="PZI37" s="47"/>
      <c r="PZJ37" s="47"/>
      <c r="PZK37" s="47"/>
      <c r="PZL37" s="47"/>
      <c r="PZM37" s="47"/>
      <c r="PZN37" s="47"/>
      <c r="PZO37" s="47"/>
      <c r="PZP37" s="47"/>
      <c r="PZQ37" s="47"/>
      <c r="PZR37" s="47"/>
      <c r="PZS37" s="47"/>
      <c r="PZT37" s="47"/>
      <c r="PZU37" s="47"/>
      <c r="PZV37" s="47"/>
      <c r="PZW37" s="47"/>
      <c r="PZX37" s="47"/>
      <c r="PZY37" s="47"/>
      <c r="PZZ37" s="47"/>
      <c r="QAA37" s="47"/>
      <c r="QAB37" s="47"/>
      <c r="QAC37" s="47"/>
      <c r="QAD37" s="47"/>
      <c r="QAE37" s="47"/>
      <c r="QAF37" s="47"/>
      <c r="QAG37" s="47"/>
      <c r="QAH37" s="47"/>
      <c r="QAI37" s="47"/>
      <c r="QAJ37" s="47"/>
      <c r="QAK37" s="47"/>
      <c r="QAL37" s="47"/>
      <c r="QAM37" s="47"/>
      <c r="QAN37" s="47"/>
      <c r="QAO37" s="47"/>
      <c r="QAP37" s="47"/>
      <c r="QAQ37" s="47"/>
      <c r="QAR37" s="47"/>
      <c r="QAS37" s="47"/>
      <c r="QAT37" s="47"/>
      <c r="QAU37" s="47"/>
      <c r="QAV37" s="47"/>
      <c r="QAW37" s="47"/>
      <c r="QAX37" s="47"/>
      <c r="QAY37" s="47"/>
      <c r="QAZ37" s="47"/>
      <c r="QBA37" s="47"/>
      <c r="QBB37" s="47"/>
      <c r="QBC37" s="47"/>
      <c r="QBD37" s="47"/>
      <c r="QBE37" s="47"/>
      <c r="QBF37" s="47"/>
      <c r="QBG37" s="47"/>
      <c r="QBH37" s="47"/>
      <c r="QBI37" s="47"/>
      <c r="QBJ37" s="47"/>
      <c r="QBK37" s="47"/>
      <c r="QBL37" s="47"/>
      <c r="QBM37" s="47"/>
      <c r="QBN37" s="47"/>
      <c r="QBO37" s="47"/>
      <c r="QBP37" s="47"/>
      <c r="QBQ37" s="47"/>
      <c r="QBR37" s="47"/>
      <c r="QBS37" s="47"/>
      <c r="QBT37" s="47"/>
      <c r="QBU37" s="47"/>
      <c r="QBV37" s="47"/>
      <c r="QBW37" s="47"/>
      <c r="QBX37" s="47"/>
      <c r="QBY37" s="47"/>
      <c r="QBZ37" s="47"/>
      <c r="QCA37" s="47"/>
      <c r="QCB37" s="47"/>
      <c r="QCC37" s="47"/>
      <c r="QCD37" s="47"/>
      <c r="QCE37" s="47"/>
      <c r="QCF37" s="47"/>
      <c r="QCG37" s="47"/>
      <c r="QCH37" s="47"/>
      <c r="QCI37" s="47"/>
      <c r="QCJ37" s="47"/>
      <c r="QCK37" s="47"/>
      <c r="QCL37" s="47"/>
      <c r="QCM37" s="47"/>
      <c r="QCN37" s="47"/>
      <c r="QCO37" s="47"/>
      <c r="QCP37" s="47"/>
      <c r="QCQ37" s="47"/>
      <c r="QCR37" s="47"/>
      <c r="QCS37" s="47"/>
      <c r="QCT37" s="47"/>
      <c r="QCU37" s="47"/>
      <c r="QCV37" s="47"/>
      <c r="QCW37" s="47"/>
      <c r="QCX37" s="47"/>
      <c r="QCY37" s="47"/>
      <c r="QCZ37" s="47"/>
      <c r="QDA37" s="47"/>
      <c r="QDB37" s="47"/>
      <c r="QDC37" s="47"/>
      <c r="QDD37" s="47"/>
      <c r="QDE37" s="47"/>
      <c r="QDF37" s="47"/>
      <c r="QDG37" s="47"/>
      <c r="QDH37" s="47"/>
      <c r="QDI37" s="47"/>
      <c r="QDJ37" s="47"/>
      <c r="QDK37" s="47"/>
      <c r="QDL37" s="47"/>
      <c r="QDM37" s="47"/>
      <c r="QDN37" s="47"/>
      <c r="QDO37" s="47"/>
      <c r="QDP37" s="47"/>
      <c r="QDQ37" s="47"/>
      <c r="QDR37" s="47"/>
      <c r="QDS37" s="47"/>
      <c r="QDT37" s="47"/>
      <c r="QDU37" s="47"/>
      <c r="QDV37" s="47"/>
      <c r="QDW37" s="47"/>
      <c r="QDX37" s="47"/>
      <c r="QDY37" s="47"/>
      <c r="QDZ37" s="47"/>
      <c r="QEA37" s="47"/>
      <c r="QEB37" s="47"/>
      <c r="QEC37" s="47"/>
      <c r="QED37" s="47"/>
      <c r="QEE37" s="47"/>
      <c r="QEF37" s="47"/>
      <c r="QEG37" s="47"/>
      <c r="QEH37" s="47"/>
      <c r="QEI37" s="47"/>
      <c r="QEJ37" s="47"/>
      <c r="QEK37" s="47"/>
      <c r="QEL37" s="47"/>
      <c r="QEM37" s="47"/>
      <c r="QEN37" s="47"/>
      <c r="QEO37" s="47"/>
      <c r="QEP37" s="47"/>
      <c r="QEQ37" s="47"/>
      <c r="QER37" s="47"/>
      <c r="QES37" s="47"/>
      <c r="QET37" s="47"/>
      <c r="QEU37" s="47"/>
      <c r="QEV37" s="47"/>
      <c r="QEW37" s="47"/>
      <c r="QEX37" s="47"/>
      <c r="QEY37" s="47"/>
      <c r="QEZ37" s="47"/>
      <c r="QFA37" s="47"/>
      <c r="QFB37" s="47"/>
      <c r="QFC37" s="47"/>
      <c r="QFD37" s="47"/>
      <c r="QFE37" s="47"/>
      <c r="QFF37" s="47"/>
      <c r="QFG37" s="47"/>
      <c r="QFH37" s="47"/>
      <c r="QFI37" s="47"/>
      <c r="QFJ37" s="47"/>
      <c r="QFK37" s="47"/>
      <c r="QFL37" s="47"/>
      <c r="QFM37" s="47"/>
      <c r="QFN37" s="47"/>
      <c r="QFO37" s="47"/>
      <c r="QFP37" s="47"/>
      <c r="QFQ37" s="47"/>
      <c r="QFR37" s="47"/>
      <c r="QFS37" s="47"/>
      <c r="QFT37" s="47"/>
      <c r="QFU37" s="47"/>
      <c r="QFV37" s="47"/>
      <c r="QFW37" s="47"/>
      <c r="QFX37" s="47"/>
      <c r="QFY37" s="47"/>
      <c r="QFZ37" s="47"/>
      <c r="QGA37" s="47"/>
      <c r="QGB37" s="47"/>
      <c r="QGC37" s="47"/>
      <c r="QGD37" s="47"/>
      <c r="QGE37" s="47"/>
      <c r="QGF37" s="47"/>
      <c r="QGG37" s="47"/>
      <c r="QGH37" s="47"/>
      <c r="QGI37" s="47"/>
      <c r="QGJ37" s="47"/>
      <c r="QGK37" s="47"/>
      <c r="QGL37" s="47"/>
      <c r="QGM37" s="47"/>
      <c r="QGN37" s="47"/>
      <c r="QGO37" s="47"/>
      <c r="QGP37" s="47"/>
      <c r="QGQ37" s="47"/>
      <c r="QGR37" s="47"/>
      <c r="QGS37" s="47"/>
      <c r="QGT37" s="47"/>
      <c r="QGU37" s="47"/>
      <c r="QGV37" s="47"/>
      <c r="QGW37" s="47"/>
      <c r="QGX37" s="47"/>
      <c r="QGY37" s="47"/>
      <c r="QGZ37" s="47"/>
      <c r="QHA37" s="47"/>
      <c r="QHB37" s="47"/>
      <c r="QHC37" s="47"/>
      <c r="QHD37" s="47"/>
      <c r="QHE37" s="47"/>
      <c r="QHF37" s="47"/>
      <c r="QHG37" s="47"/>
      <c r="QHH37" s="47"/>
      <c r="QHI37" s="47"/>
      <c r="QHJ37" s="47"/>
      <c r="QHK37" s="47"/>
      <c r="QHL37" s="47"/>
      <c r="QHM37" s="47"/>
      <c r="QHN37" s="47"/>
      <c r="QHO37" s="47"/>
      <c r="QHP37" s="47"/>
      <c r="QHQ37" s="47"/>
      <c r="QHR37" s="47"/>
      <c r="QHS37" s="47"/>
      <c r="QHT37" s="47"/>
      <c r="QHU37" s="47"/>
      <c r="QHV37" s="47"/>
      <c r="QHW37" s="47"/>
      <c r="QHX37" s="47"/>
      <c r="QHY37" s="47"/>
      <c r="QHZ37" s="47"/>
      <c r="QIA37" s="47"/>
      <c r="QIB37" s="47"/>
      <c r="QIC37" s="47"/>
      <c r="QID37" s="47"/>
      <c r="QIE37" s="47"/>
      <c r="QIF37" s="47"/>
      <c r="QIG37" s="47"/>
      <c r="QIH37" s="47"/>
      <c r="QII37" s="47"/>
      <c r="QIJ37" s="47"/>
      <c r="QIK37" s="47"/>
      <c r="QIL37" s="47"/>
      <c r="QIM37" s="47"/>
      <c r="QIN37" s="47"/>
      <c r="QIO37" s="47"/>
      <c r="QIP37" s="47"/>
      <c r="QIQ37" s="47"/>
      <c r="QIR37" s="47"/>
      <c r="QIS37" s="47"/>
      <c r="QIT37" s="47"/>
      <c r="QIU37" s="47"/>
      <c r="QIV37" s="47"/>
      <c r="QIW37" s="47"/>
      <c r="QIX37" s="47"/>
      <c r="QIY37" s="47"/>
      <c r="QIZ37" s="47"/>
      <c r="QJA37" s="47"/>
      <c r="QJB37" s="47"/>
      <c r="QJC37" s="47"/>
      <c r="QJD37" s="47"/>
      <c r="QJE37" s="47"/>
      <c r="QJF37" s="47"/>
      <c r="QJG37" s="47"/>
      <c r="QJH37" s="47"/>
      <c r="QJI37" s="47"/>
      <c r="QJJ37" s="47"/>
      <c r="QJK37" s="47"/>
      <c r="QJL37" s="47"/>
      <c r="QJM37" s="47"/>
      <c r="QJN37" s="47"/>
      <c r="QJO37" s="47"/>
      <c r="QJP37" s="47"/>
      <c r="QJQ37" s="47"/>
      <c r="QJR37" s="47"/>
      <c r="QJS37" s="47"/>
      <c r="QJT37" s="47"/>
      <c r="QJU37" s="47"/>
      <c r="QJV37" s="47"/>
      <c r="QJW37" s="47"/>
      <c r="QJX37" s="47"/>
      <c r="QJY37" s="47"/>
      <c r="QJZ37" s="47"/>
      <c r="QKA37" s="47"/>
      <c r="QKB37" s="47"/>
      <c r="QKC37" s="47"/>
      <c r="QKD37" s="47"/>
      <c r="QKE37" s="47"/>
      <c r="QKF37" s="47"/>
      <c r="QKG37" s="47"/>
      <c r="QKH37" s="47"/>
      <c r="QKI37" s="47"/>
      <c r="QKJ37" s="47"/>
      <c r="QKK37" s="47"/>
      <c r="QKL37" s="47"/>
      <c r="QKM37" s="47"/>
      <c r="QKN37" s="47"/>
      <c r="QKO37" s="47"/>
      <c r="QKP37" s="47"/>
      <c r="QKQ37" s="47"/>
      <c r="QKR37" s="47"/>
      <c r="QKS37" s="47"/>
      <c r="QKT37" s="47"/>
      <c r="QKU37" s="47"/>
      <c r="QKV37" s="47"/>
      <c r="QKW37" s="47"/>
      <c r="QKX37" s="47"/>
      <c r="QKY37" s="47"/>
      <c r="QKZ37" s="47"/>
      <c r="QLA37" s="47"/>
      <c r="QLB37" s="47"/>
      <c r="QLC37" s="47"/>
      <c r="QLD37" s="47"/>
      <c r="QLE37" s="47"/>
      <c r="QLF37" s="47"/>
      <c r="QLG37" s="47"/>
      <c r="QLH37" s="47"/>
      <c r="QLI37" s="47"/>
      <c r="QLJ37" s="47"/>
      <c r="QLK37" s="47"/>
      <c r="QLL37" s="47"/>
      <c r="QLM37" s="47"/>
      <c r="QLN37" s="47"/>
      <c r="QLO37" s="47"/>
      <c r="QLP37" s="47"/>
      <c r="QLQ37" s="47"/>
      <c r="QLR37" s="47"/>
      <c r="QLS37" s="47"/>
      <c r="QLT37" s="47"/>
      <c r="QLU37" s="47"/>
      <c r="QLV37" s="47"/>
      <c r="QLW37" s="47"/>
      <c r="QLX37" s="47"/>
      <c r="QLY37" s="47"/>
      <c r="QLZ37" s="47"/>
      <c r="QMA37" s="47"/>
      <c r="QMB37" s="47"/>
      <c r="QMC37" s="47"/>
      <c r="QMD37" s="47"/>
      <c r="QME37" s="47"/>
      <c r="QMF37" s="47"/>
      <c r="QMG37" s="47"/>
      <c r="QMH37" s="47"/>
      <c r="QMI37" s="47"/>
      <c r="QMJ37" s="47"/>
      <c r="QMK37" s="47"/>
      <c r="QML37" s="47"/>
      <c r="QMM37" s="47"/>
      <c r="QMN37" s="47"/>
      <c r="QMO37" s="47"/>
      <c r="QMP37" s="47"/>
      <c r="QMQ37" s="47"/>
      <c r="QMR37" s="47"/>
      <c r="QMS37" s="47"/>
      <c r="QMT37" s="47"/>
      <c r="QMU37" s="47"/>
      <c r="QMV37" s="47"/>
      <c r="QMW37" s="47"/>
      <c r="QMX37" s="47"/>
      <c r="QMY37" s="47"/>
      <c r="QMZ37" s="47"/>
      <c r="QNA37" s="47"/>
      <c r="QNB37" s="47"/>
      <c r="QNC37" s="47"/>
      <c r="QND37" s="47"/>
      <c r="QNE37" s="47"/>
      <c r="QNF37" s="47"/>
      <c r="QNG37" s="47"/>
      <c r="QNH37" s="47"/>
      <c r="QNI37" s="47"/>
      <c r="QNJ37" s="47"/>
      <c r="QNK37" s="47"/>
      <c r="QNL37" s="47"/>
      <c r="QNM37" s="47"/>
      <c r="QNN37" s="47"/>
      <c r="QNO37" s="47"/>
      <c r="QNP37" s="47"/>
      <c r="QNQ37" s="47"/>
      <c r="QNR37" s="47"/>
      <c r="QNS37" s="47"/>
      <c r="QNT37" s="47"/>
      <c r="QNU37" s="47"/>
      <c r="QNV37" s="47"/>
      <c r="QNW37" s="47"/>
      <c r="QNX37" s="47"/>
      <c r="QNY37" s="47"/>
      <c r="QNZ37" s="47"/>
      <c r="QOA37" s="47"/>
      <c r="QOB37" s="47"/>
      <c r="QOC37" s="47"/>
      <c r="QOD37" s="47"/>
      <c r="QOE37" s="47"/>
      <c r="QOF37" s="47"/>
      <c r="QOG37" s="47"/>
      <c r="QOH37" s="47"/>
      <c r="QOI37" s="47"/>
      <c r="QOJ37" s="47"/>
      <c r="QOK37" s="47"/>
      <c r="QOL37" s="47"/>
      <c r="QOM37" s="47"/>
      <c r="QON37" s="47"/>
      <c r="QOO37" s="47"/>
      <c r="QOP37" s="47"/>
      <c r="QOQ37" s="47"/>
      <c r="QOR37" s="47"/>
      <c r="QOS37" s="47"/>
      <c r="QOT37" s="47"/>
      <c r="QOU37" s="47"/>
      <c r="QOV37" s="47"/>
      <c r="QOW37" s="47"/>
      <c r="QOX37" s="47"/>
      <c r="QOY37" s="47"/>
      <c r="QOZ37" s="47"/>
      <c r="QPA37" s="47"/>
      <c r="QPB37" s="47"/>
      <c r="QPC37" s="47"/>
      <c r="QPD37" s="47"/>
      <c r="QPE37" s="47"/>
      <c r="QPF37" s="47"/>
      <c r="QPG37" s="47"/>
      <c r="QPH37" s="47"/>
      <c r="QPI37" s="47"/>
      <c r="QPJ37" s="47"/>
      <c r="QPK37" s="47"/>
      <c r="QPL37" s="47"/>
      <c r="QPM37" s="47"/>
      <c r="QPN37" s="47"/>
      <c r="QPO37" s="47"/>
      <c r="QPP37" s="47"/>
      <c r="QPQ37" s="47"/>
      <c r="QPR37" s="47"/>
      <c r="QPS37" s="47"/>
      <c r="QPT37" s="47"/>
      <c r="QPU37" s="47"/>
      <c r="QPV37" s="47"/>
      <c r="QPW37" s="47"/>
      <c r="QPX37" s="47"/>
      <c r="QPY37" s="47"/>
      <c r="QPZ37" s="47"/>
      <c r="QQA37" s="47"/>
      <c r="QQB37" s="47"/>
      <c r="QQC37" s="47"/>
      <c r="QQD37" s="47"/>
      <c r="QQE37" s="47"/>
      <c r="QQF37" s="47"/>
      <c r="QQG37" s="47"/>
      <c r="QQH37" s="47"/>
      <c r="QQI37" s="47"/>
      <c r="QQJ37" s="47"/>
      <c r="QQK37" s="47"/>
      <c r="QQL37" s="47"/>
      <c r="QQM37" s="47"/>
      <c r="QQN37" s="47"/>
      <c r="QQO37" s="47"/>
      <c r="QQP37" s="47"/>
      <c r="QQQ37" s="47"/>
      <c r="QQR37" s="47"/>
      <c r="QQS37" s="47"/>
      <c r="QQT37" s="47"/>
      <c r="QQU37" s="47"/>
      <c r="QQV37" s="47"/>
      <c r="QQW37" s="47"/>
      <c r="QQX37" s="47"/>
      <c r="QQY37" s="47"/>
      <c r="QQZ37" s="47"/>
      <c r="QRA37" s="47"/>
      <c r="QRB37" s="47"/>
      <c r="QRC37" s="47"/>
      <c r="QRD37" s="47"/>
      <c r="QRE37" s="47"/>
      <c r="QRF37" s="47"/>
      <c r="QRG37" s="47"/>
      <c r="QRH37" s="47"/>
      <c r="QRI37" s="47"/>
      <c r="QRJ37" s="47"/>
      <c r="QRK37" s="47"/>
      <c r="QRL37" s="47"/>
      <c r="QRM37" s="47"/>
      <c r="QRN37" s="47"/>
      <c r="QRO37" s="47"/>
      <c r="QRP37" s="47"/>
      <c r="QRQ37" s="47"/>
      <c r="QRR37" s="47"/>
      <c r="QRS37" s="47"/>
      <c r="QRT37" s="47"/>
      <c r="QRU37" s="47"/>
      <c r="QRV37" s="47"/>
      <c r="QRW37" s="47"/>
      <c r="QRX37" s="47"/>
      <c r="QRY37" s="47"/>
      <c r="QRZ37" s="47"/>
      <c r="QSA37" s="47"/>
      <c r="QSB37" s="47"/>
      <c r="QSC37" s="47"/>
      <c r="QSD37" s="47"/>
      <c r="QSE37" s="47"/>
      <c r="QSF37" s="47"/>
      <c r="QSG37" s="47"/>
      <c r="QSH37" s="47"/>
      <c r="QSI37" s="47"/>
      <c r="QSJ37" s="47"/>
      <c r="QSK37" s="47"/>
      <c r="QSL37" s="47"/>
      <c r="QSM37" s="47"/>
      <c r="QSN37" s="47"/>
      <c r="QSO37" s="47"/>
      <c r="QSP37" s="47"/>
      <c r="QSQ37" s="47"/>
      <c r="QSR37" s="47"/>
      <c r="QSS37" s="47"/>
      <c r="QST37" s="47"/>
      <c r="QSU37" s="47"/>
      <c r="QSV37" s="47"/>
      <c r="QSW37" s="47"/>
      <c r="QSX37" s="47"/>
      <c r="QSY37" s="47"/>
      <c r="QSZ37" s="47"/>
      <c r="QTA37" s="47"/>
      <c r="QTB37" s="47"/>
      <c r="QTC37" s="47"/>
      <c r="QTD37" s="47"/>
      <c r="QTE37" s="47"/>
      <c r="QTF37" s="47"/>
      <c r="QTG37" s="47"/>
      <c r="QTH37" s="47"/>
      <c r="QTI37" s="47"/>
      <c r="QTJ37" s="47"/>
      <c r="QTK37" s="47"/>
      <c r="QTL37" s="47"/>
      <c r="QTM37" s="47"/>
      <c r="QTN37" s="47"/>
      <c r="QTO37" s="47"/>
      <c r="QTP37" s="47"/>
      <c r="QTQ37" s="47"/>
      <c r="QTR37" s="47"/>
      <c r="QTS37" s="47"/>
      <c r="QTT37" s="47"/>
      <c r="QTU37" s="47"/>
      <c r="QTV37" s="47"/>
      <c r="QTW37" s="47"/>
      <c r="QTX37" s="47"/>
      <c r="QTY37" s="47"/>
      <c r="QTZ37" s="47"/>
      <c r="QUA37" s="47"/>
      <c r="QUB37" s="47"/>
      <c r="QUC37" s="47"/>
      <c r="QUD37" s="47"/>
      <c r="QUE37" s="47"/>
      <c r="QUF37" s="47"/>
      <c r="QUG37" s="47"/>
      <c r="QUH37" s="47"/>
      <c r="QUI37" s="47"/>
      <c r="QUJ37" s="47"/>
      <c r="QUK37" s="47"/>
      <c r="QUL37" s="47"/>
      <c r="QUM37" s="47"/>
      <c r="QUN37" s="47"/>
      <c r="QUO37" s="47"/>
      <c r="QUP37" s="47"/>
      <c r="QUQ37" s="47"/>
      <c r="QUR37" s="47"/>
      <c r="QUS37" s="47"/>
      <c r="QUT37" s="47"/>
      <c r="QUU37" s="47"/>
      <c r="QUV37" s="47"/>
      <c r="QUW37" s="47"/>
      <c r="QUX37" s="47"/>
      <c r="QUY37" s="47"/>
      <c r="QUZ37" s="47"/>
      <c r="QVA37" s="47"/>
      <c r="QVB37" s="47"/>
      <c r="QVC37" s="47"/>
      <c r="QVD37" s="47"/>
      <c r="QVE37" s="47"/>
      <c r="QVF37" s="47"/>
      <c r="QVG37" s="47"/>
      <c r="QVH37" s="47"/>
      <c r="QVI37" s="47"/>
      <c r="QVJ37" s="47"/>
      <c r="QVK37" s="47"/>
      <c r="QVL37" s="47"/>
      <c r="QVM37" s="47"/>
      <c r="QVN37" s="47"/>
      <c r="QVO37" s="47"/>
      <c r="QVP37" s="47"/>
      <c r="QVQ37" s="47"/>
      <c r="QVR37" s="47"/>
      <c r="QVS37" s="47"/>
      <c r="QVT37" s="47"/>
      <c r="QVU37" s="47"/>
      <c r="QVV37" s="47"/>
      <c r="QVW37" s="47"/>
      <c r="QVX37" s="47"/>
      <c r="QVY37" s="47"/>
      <c r="QVZ37" s="47"/>
      <c r="QWA37" s="47"/>
      <c r="QWB37" s="47"/>
      <c r="QWC37" s="47"/>
      <c r="QWD37" s="47"/>
      <c r="QWE37" s="47"/>
      <c r="QWF37" s="47"/>
      <c r="QWG37" s="47"/>
      <c r="QWH37" s="47"/>
      <c r="QWI37" s="47"/>
      <c r="QWJ37" s="47"/>
      <c r="QWK37" s="47"/>
      <c r="QWL37" s="47"/>
      <c r="QWM37" s="47"/>
      <c r="QWN37" s="47"/>
      <c r="QWO37" s="47"/>
      <c r="QWP37" s="47"/>
      <c r="QWQ37" s="47"/>
      <c r="QWR37" s="47"/>
      <c r="QWS37" s="47"/>
      <c r="QWT37" s="47"/>
      <c r="QWU37" s="47"/>
      <c r="QWV37" s="47"/>
      <c r="QWW37" s="47"/>
      <c r="QWX37" s="47"/>
      <c r="QWY37" s="47"/>
      <c r="QWZ37" s="47"/>
      <c r="QXA37" s="47"/>
      <c r="QXB37" s="47"/>
      <c r="QXC37" s="47"/>
      <c r="QXD37" s="47"/>
      <c r="QXE37" s="47"/>
      <c r="QXF37" s="47"/>
      <c r="QXG37" s="47"/>
      <c r="QXH37" s="47"/>
      <c r="QXI37" s="47"/>
      <c r="QXJ37" s="47"/>
      <c r="QXK37" s="47"/>
      <c r="QXL37" s="47"/>
      <c r="QXM37" s="47"/>
      <c r="QXN37" s="47"/>
      <c r="QXO37" s="47"/>
      <c r="QXP37" s="47"/>
      <c r="QXQ37" s="47"/>
      <c r="QXR37" s="47"/>
      <c r="QXS37" s="47"/>
      <c r="QXT37" s="47"/>
      <c r="QXU37" s="47"/>
      <c r="QXV37" s="47"/>
      <c r="QXW37" s="47"/>
      <c r="QXX37" s="47"/>
      <c r="QXY37" s="47"/>
      <c r="QXZ37" s="47"/>
      <c r="QYA37" s="47"/>
      <c r="QYB37" s="47"/>
      <c r="QYC37" s="47"/>
      <c r="QYD37" s="47"/>
      <c r="QYE37" s="47"/>
      <c r="QYF37" s="47"/>
      <c r="QYG37" s="47"/>
      <c r="QYH37" s="47"/>
      <c r="QYI37" s="47"/>
      <c r="QYJ37" s="47"/>
      <c r="QYK37" s="47"/>
      <c r="QYL37" s="47"/>
      <c r="QYM37" s="47"/>
      <c r="QYN37" s="47"/>
      <c r="QYO37" s="47"/>
      <c r="QYP37" s="47"/>
      <c r="QYQ37" s="47"/>
      <c r="QYR37" s="47"/>
      <c r="QYS37" s="47"/>
      <c r="QYT37" s="47"/>
      <c r="QYU37" s="47"/>
      <c r="QYV37" s="47"/>
      <c r="QYW37" s="47"/>
      <c r="QYX37" s="47"/>
      <c r="QYY37" s="47"/>
      <c r="QYZ37" s="47"/>
      <c r="QZA37" s="47"/>
      <c r="QZB37" s="47"/>
      <c r="QZC37" s="47"/>
      <c r="QZD37" s="47"/>
      <c r="QZE37" s="47"/>
      <c r="QZF37" s="47"/>
      <c r="QZG37" s="47"/>
      <c r="QZH37" s="47"/>
      <c r="QZI37" s="47"/>
      <c r="QZJ37" s="47"/>
      <c r="QZK37" s="47"/>
      <c r="QZL37" s="47"/>
      <c r="QZM37" s="47"/>
      <c r="QZN37" s="47"/>
      <c r="QZO37" s="47"/>
      <c r="QZP37" s="47"/>
      <c r="QZQ37" s="47"/>
      <c r="QZR37" s="47"/>
      <c r="QZS37" s="47"/>
      <c r="QZT37" s="47"/>
      <c r="QZU37" s="47"/>
      <c r="QZV37" s="47"/>
      <c r="QZW37" s="47"/>
      <c r="QZX37" s="47"/>
      <c r="QZY37" s="47"/>
      <c r="QZZ37" s="47"/>
      <c r="RAA37" s="47"/>
      <c r="RAB37" s="47"/>
      <c r="RAC37" s="47"/>
      <c r="RAD37" s="47"/>
      <c r="RAE37" s="47"/>
      <c r="RAF37" s="47"/>
      <c r="RAG37" s="47"/>
      <c r="RAH37" s="47"/>
      <c r="RAI37" s="47"/>
      <c r="RAJ37" s="47"/>
      <c r="RAK37" s="47"/>
      <c r="RAL37" s="47"/>
      <c r="RAM37" s="47"/>
      <c r="RAN37" s="47"/>
      <c r="RAO37" s="47"/>
      <c r="RAP37" s="47"/>
      <c r="RAQ37" s="47"/>
      <c r="RAR37" s="47"/>
      <c r="RAS37" s="47"/>
      <c r="RAT37" s="47"/>
      <c r="RAU37" s="47"/>
      <c r="RAV37" s="47"/>
      <c r="RAW37" s="47"/>
      <c r="RAX37" s="47"/>
      <c r="RAY37" s="47"/>
      <c r="RAZ37" s="47"/>
      <c r="RBA37" s="47"/>
      <c r="RBB37" s="47"/>
      <c r="RBC37" s="47"/>
      <c r="RBD37" s="47"/>
      <c r="RBE37" s="47"/>
      <c r="RBF37" s="47"/>
      <c r="RBG37" s="47"/>
      <c r="RBH37" s="47"/>
      <c r="RBI37" s="47"/>
      <c r="RBJ37" s="47"/>
      <c r="RBK37" s="47"/>
      <c r="RBL37" s="47"/>
      <c r="RBM37" s="47"/>
      <c r="RBN37" s="47"/>
      <c r="RBO37" s="47"/>
      <c r="RBP37" s="47"/>
      <c r="RBQ37" s="47"/>
      <c r="RBR37" s="47"/>
      <c r="RBS37" s="47"/>
      <c r="RBT37" s="47"/>
      <c r="RBU37" s="47"/>
      <c r="RBV37" s="47"/>
      <c r="RBW37" s="47"/>
      <c r="RBX37" s="47"/>
      <c r="RBY37" s="47"/>
      <c r="RBZ37" s="47"/>
      <c r="RCA37" s="47"/>
      <c r="RCB37" s="47"/>
      <c r="RCC37" s="47"/>
      <c r="RCD37" s="47"/>
      <c r="RCE37" s="47"/>
      <c r="RCF37" s="47"/>
      <c r="RCG37" s="47"/>
      <c r="RCH37" s="47"/>
      <c r="RCI37" s="47"/>
      <c r="RCJ37" s="47"/>
      <c r="RCK37" s="47"/>
      <c r="RCL37" s="47"/>
      <c r="RCM37" s="47"/>
      <c r="RCN37" s="47"/>
      <c r="RCO37" s="47"/>
      <c r="RCP37" s="47"/>
      <c r="RCQ37" s="47"/>
      <c r="RCR37" s="47"/>
      <c r="RCS37" s="47"/>
      <c r="RCT37" s="47"/>
      <c r="RCU37" s="47"/>
      <c r="RCV37" s="47"/>
      <c r="RCW37" s="47"/>
      <c r="RCX37" s="47"/>
      <c r="RCY37" s="47"/>
      <c r="RCZ37" s="47"/>
      <c r="RDA37" s="47"/>
      <c r="RDB37" s="47"/>
      <c r="RDC37" s="47"/>
      <c r="RDD37" s="47"/>
      <c r="RDE37" s="47"/>
      <c r="RDF37" s="47"/>
      <c r="RDG37" s="47"/>
      <c r="RDH37" s="47"/>
      <c r="RDI37" s="47"/>
      <c r="RDJ37" s="47"/>
      <c r="RDK37" s="47"/>
      <c r="RDL37" s="47"/>
      <c r="RDM37" s="47"/>
      <c r="RDN37" s="47"/>
      <c r="RDO37" s="47"/>
      <c r="RDP37" s="47"/>
      <c r="RDQ37" s="47"/>
      <c r="RDR37" s="47"/>
      <c r="RDS37" s="47"/>
      <c r="RDT37" s="47"/>
      <c r="RDU37" s="47"/>
      <c r="RDV37" s="47"/>
      <c r="RDW37" s="47"/>
      <c r="RDX37" s="47"/>
      <c r="RDY37" s="47"/>
      <c r="RDZ37" s="47"/>
      <c r="REA37" s="47"/>
      <c r="REB37" s="47"/>
      <c r="REC37" s="47"/>
      <c r="RED37" s="47"/>
      <c r="REE37" s="47"/>
      <c r="REF37" s="47"/>
      <c r="REG37" s="47"/>
      <c r="REH37" s="47"/>
      <c r="REI37" s="47"/>
      <c r="REJ37" s="47"/>
      <c r="REK37" s="47"/>
      <c r="REL37" s="47"/>
      <c r="REM37" s="47"/>
      <c r="REN37" s="47"/>
      <c r="REO37" s="47"/>
      <c r="REP37" s="47"/>
      <c r="REQ37" s="47"/>
      <c r="RER37" s="47"/>
      <c r="RES37" s="47"/>
      <c r="RET37" s="47"/>
      <c r="REU37" s="47"/>
      <c r="REV37" s="47"/>
      <c r="REW37" s="47"/>
      <c r="REX37" s="47"/>
      <c r="REY37" s="47"/>
      <c r="REZ37" s="47"/>
      <c r="RFA37" s="47"/>
      <c r="RFB37" s="47"/>
      <c r="RFC37" s="47"/>
      <c r="RFD37" s="47"/>
      <c r="RFE37" s="47"/>
      <c r="RFF37" s="47"/>
      <c r="RFG37" s="47"/>
      <c r="RFH37" s="47"/>
      <c r="RFI37" s="47"/>
      <c r="RFJ37" s="47"/>
      <c r="RFK37" s="47"/>
      <c r="RFL37" s="47"/>
      <c r="RFM37" s="47"/>
      <c r="RFN37" s="47"/>
      <c r="RFO37" s="47"/>
      <c r="RFP37" s="47"/>
      <c r="RFQ37" s="47"/>
      <c r="RFR37" s="47"/>
      <c r="RFS37" s="47"/>
      <c r="RFT37" s="47"/>
      <c r="RFU37" s="47"/>
      <c r="RFV37" s="47"/>
      <c r="RFW37" s="47"/>
      <c r="RFX37" s="47"/>
      <c r="RFY37" s="47"/>
      <c r="RFZ37" s="47"/>
      <c r="RGA37" s="47"/>
      <c r="RGB37" s="47"/>
      <c r="RGC37" s="47"/>
      <c r="RGD37" s="47"/>
      <c r="RGE37" s="47"/>
      <c r="RGF37" s="47"/>
      <c r="RGG37" s="47"/>
      <c r="RGH37" s="47"/>
      <c r="RGI37" s="47"/>
      <c r="RGJ37" s="47"/>
      <c r="RGK37" s="47"/>
      <c r="RGL37" s="47"/>
      <c r="RGM37" s="47"/>
      <c r="RGN37" s="47"/>
      <c r="RGO37" s="47"/>
      <c r="RGP37" s="47"/>
      <c r="RGQ37" s="47"/>
      <c r="RGR37" s="47"/>
      <c r="RGS37" s="47"/>
      <c r="RGT37" s="47"/>
      <c r="RGU37" s="47"/>
      <c r="RGV37" s="47"/>
      <c r="RGW37" s="47"/>
      <c r="RGX37" s="47"/>
      <c r="RGY37" s="47"/>
      <c r="RGZ37" s="47"/>
      <c r="RHA37" s="47"/>
      <c r="RHB37" s="47"/>
      <c r="RHC37" s="47"/>
      <c r="RHD37" s="47"/>
      <c r="RHE37" s="47"/>
      <c r="RHF37" s="47"/>
      <c r="RHG37" s="47"/>
      <c r="RHH37" s="47"/>
      <c r="RHI37" s="47"/>
      <c r="RHJ37" s="47"/>
      <c r="RHK37" s="47"/>
      <c r="RHL37" s="47"/>
      <c r="RHM37" s="47"/>
      <c r="RHN37" s="47"/>
      <c r="RHO37" s="47"/>
      <c r="RHP37" s="47"/>
      <c r="RHQ37" s="47"/>
      <c r="RHR37" s="47"/>
      <c r="RHS37" s="47"/>
      <c r="RHT37" s="47"/>
      <c r="RHU37" s="47"/>
      <c r="RHV37" s="47"/>
      <c r="RHW37" s="47"/>
      <c r="RHX37" s="47"/>
      <c r="RHY37" s="47"/>
      <c r="RHZ37" s="47"/>
      <c r="RIA37" s="47"/>
      <c r="RIB37" s="47"/>
      <c r="RIC37" s="47"/>
      <c r="RID37" s="47"/>
      <c r="RIE37" s="47"/>
      <c r="RIF37" s="47"/>
      <c r="RIG37" s="47"/>
      <c r="RIH37" s="47"/>
      <c r="RII37" s="47"/>
      <c r="RIJ37" s="47"/>
      <c r="RIK37" s="47"/>
      <c r="RIL37" s="47"/>
      <c r="RIM37" s="47"/>
      <c r="RIN37" s="47"/>
      <c r="RIO37" s="47"/>
      <c r="RIP37" s="47"/>
      <c r="RIQ37" s="47"/>
      <c r="RIR37" s="47"/>
      <c r="RIS37" s="47"/>
      <c r="RIT37" s="47"/>
      <c r="RIU37" s="47"/>
      <c r="RIV37" s="47"/>
      <c r="RIW37" s="47"/>
      <c r="RIX37" s="47"/>
      <c r="RIY37" s="47"/>
      <c r="RIZ37" s="47"/>
      <c r="RJA37" s="47"/>
      <c r="RJB37" s="47"/>
      <c r="RJC37" s="47"/>
      <c r="RJD37" s="47"/>
      <c r="RJE37" s="47"/>
      <c r="RJF37" s="47"/>
      <c r="RJG37" s="47"/>
      <c r="RJH37" s="47"/>
      <c r="RJI37" s="47"/>
      <c r="RJJ37" s="47"/>
      <c r="RJK37" s="47"/>
      <c r="RJL37" s="47"/>
      <c r="RJM37" s="47"/>
      <c r="RJN37" s="47"/>
      <c r="RJO37" s="47"/>
      <c r="RJP37" s="47"/>
      <c r="RJQ37" s="47"/>
      <c r="RJR37" s="47"/>
      <c r="RJS37" s="47"/>
      <c r="RJT37" s="47"/>
      <c r="RJU37" s="47"/>
      <c r="RJV37" s="47"/>
      <c r="RJW37" s="47"/>
      <c r="RJX37" s="47"/>
      <c r="RJY37" s="47"/>
      <c r="RJZ37" s="47"/>
      <c r="RKA37" s="47"/>
      <c r="RKB37" s="47"/>
      <c r="RKC37" s="47"/>
      <c r="RKD37" s="47"/>
      <c r="RKE37" s="47"/>
      <c r="RKF37" s="47"/>
      <c r="RKG37" s="47"/>
      <c r="RKH37" s="47"/>
      <c r="RKI37" s="47"/>
      <c r="RKJ37" s="47"/>
      <c r="RKK37" s="47"/>
      <c r="RKL37" s="47"/>
      <c r="RKM37" s="47"/>
      <c r="RKN37" s="47"/>
      <c r="RKO37" s="47"/>
      <c r="RKP37" s="47"/>
      <c r="RKQ37" s="47"/>
      <c r="RKR37" s="47"/>
      <c r="RKS37" s="47"/>
      <c r="RKT37" s="47"/>
      <c r="RKU37" s="47"/>
      <c r="RKV37" s="47"/>
      <c r="RKW37" s="47"/>
      <c r="RKX37" s="47"/>
      <c r="RKY37" s="47"/>
      <c r="RKZ37" s="47"/>
      <c r="RLA37" s="47"/>
      <c r="RLB37" s="47"/>
      <c r="RLC37" s="47"/>
      <c r="RLD37" s="47"/>
      <c r="RLE37" s="47"/>
      <c r="RLF37" s="47"/>
      <c r="RLG37" s="47"/>
      <c r="RLH37" s="47"/>
      <c r="RLI37" s="47"/>
      <c r="RLJ37" s="47"/>
      <c r="RLK37" s="47"/>
      <c r="RLL37" s="47"/>
      <c r="RLM37" s="47"/>
      <c r="RLN37" s="47"/>
      <c r="RLO37" s="47"/>
      <c r="RLP37" s="47"/>
      <c r="RLQ37" s="47"/>
      <c r="RLR37" s="47"/>
      <c r="RLS37" s="47"/>
      <c r="RLT37" s="47"/>
      <c r="RLU37" s="47"/>
      <c r="RLV37" s="47"/>
      <c r="RLW37" s="47"/>
      <c r="RLX37" s="47"/>
      <c r="RLY37" s="47"/>
      <c r="RLZ37" s="47"/>
      <c r="RMA37" s="47"/>
      <c r="RMB37" s="47"/>
      <c r="RMC37" s="47"/>
      <c r="RMD37" s="47"/>
      <c r="RME37" s="47"/>
      <c r="RMF37" s="47"/>
      <c r="RMG37" s="47"/>
      <c r="RMH37" s="47"/>
      <c r="RMI37" s="47"/>
      <c r="RMJ37" s="47"/>
      <c r="RMK37" s="47"/>
      <c r="RML37" s="47"/>
      <c r="RMM37" s="47"/>
      <c r="RMN37" s="47"/>
      <c r="RMO37" s="47"/>
      <c r="RMP37" s="47"/>
      <c r="RMQ37" s="47"/>
      <c r="RMR37" s="47"/>
      <c r="RMS37" s="47"/>
      <c r="RMT37" s="47"/>
      <c r="RMU37" s="47"/>
      <c r="RMV37" s="47"/>
      <c r="RMW37" s="47"/>
      <c r="RMX37" s="47"/>
      <c r="RMY37" s="47"/>
      <c r="RMZ37" s="47"/>
      <c r="RNA37" s="47"/>
      <c r="RNB37" s="47"/>
      <c r="RNC37" s="47"/>
      <c r="RND37" s="47"/>
      <c r="RNE37" s="47"/>
      <c r="RNF37" s="47"/>
      <c r="RNG37" s="47"/>
      <c r="RNH37" s="47"/>
      <c r="RNI37" s="47"/>
      <c r="RNJ37" s="47"/>
      <c r="RNK37" s="47"/>
      <c r="RNL37" s="47"/>
      <c r="RNM37" s="47"/>
      <c r="RNN37" s="47"/>
      <c r="RNO37" s="47"/>
      <c r="RNP37" s="47"/>
      <c r="RNQ37" s="47"/>
      <c r="RNR37" s="47"/>
      <c r="RNS37" s="47"/>
      <c r="RNT37" s="47"/>
      <c r="RNU37" s="47"/>
      <c r="RNV37" s="47"/>
      <c r="RNW37" s="47"/>
      <c r="RNX37" s="47"/>
      <c r="RNY37" s="47"/>
      <c r="RNZ37" s="47"/>
      <c r="ROA37" s="47"/>
      <c r="ROB37" s="47"/>
      <c r="ROC37" s="47"/>
      <c r="ROD37" s="47"/>
      <c r="ROE37" s="47"/>
      <c r="ROF37" s="47"/>
      <c r="ROG37" s="47"/>
      <c r="ROH37" s="47"/>
      <c r="ROI37" s="47"/>
      <c r="ROJ37" s="47"/>
      <c r="ROK37" s="47"/>
      <c r="ROL37" s="47"/>
      <c r="ROM37" s="47"/>
      <c r="RON37" s="47"/>
      <c r="ROO37" s="47"/>
      <c r="ROP37" s="47"/>
      <c r="ROQ37" s="47"/>
      <c r="ROR37" s="47"/>
      <c r="ROS37" s="47"/>
      <c r="ROT37" s="47"/>
      <c r="ROU37" s="47"/>
      <c r="ROV37" s="47"/>
      <c r="ROW37" s="47"/>
      <c r="ROX37" s="47"/>
      <c r="ROY37" s="47"/>
      <c r="ROZ37" s="47"/>
      <c r="RPA37" s="47"/>
      <c r="RPB37" s="47"/>
      <c r="RPC37" s="47"/>
      <c r="RPD37" s="47"/>
      <c r="RPE37" s="47"/>
      <c r="RPF37" s="47"/>
      <c r="RPG37" s="47"/>
      <c r="RPH37" s="47"/>
      <c r="RPI37" s="47"/>
      <c r="RPJ37" s="47"/>
      <c r="RPK37" s="47"/>
      <c r="RPL37" s="47"/>
      <c r="RPM37" s="47"/>
      <c r="RPN37" s="47"/>
      <c r="RPO37" s="47"/>
      <c r="RPP37" s="47"/>
      <c r="RPQ37" s="47"/>
      <c r="RPR37" s="47"/>
      <c r="RPS37" s="47"/>
      <c r="RPT37" s="47"/>
      <c r="RPU37" s="47"/>
      <c r="RPV37" s="47"/>
      <c r="RPW37" s="47"/>
      <c r="RPX37" s="47"/>
      <c r="RPY37" s="47"/>
      <c r="RPZ37" s="47"/>
      <c r="RQA37" s="47"/>
      <c r="RQB37" s="47"/>
      <c r="RQC37" s="47"/>
      <c r="RQD37" s="47"/>
      <c r="RQE37" s="47"/>
      <c r="RQF37" s="47"/>
      <c r="RQG37" s="47"/>
      <c r="RQH37" s="47"/>
      <c r="RQI37" s="47"/>
      <c r="RQJ37" s="47"/>
      <c r="RQK37" s="47"/>
      <c r="RQL37" s="47"/>
      <c r="RQM37" s="47"/>
      <c r="RQN37" s="47"/>
      <c r="RQO37" s="47"/>
      <c r="RQP37" s="47"/>
      <c r="RQQ37" s="47"/>
      <c r="RQR37" s="47"/>
      <c r="RQS37" s="47"/>
      <c r="RQT37" s="47"/>
      <c r="RQU37" s="47"/>
      <c r="RQV37" s="47"/>
      <c r="RQW37" s="47"/>
      <c r="RQX37" s="47"/>
      <c r="RQY37" s="47"/>
      <c r="RQZ37" s="47"/>
      <c r="RRA37" s="47"/>
      <c r="RRB37" s="47"/>
      <c r="RRC37" s="47"/>
      <c r="RRD37" s="47"/>
      <c r="RRE37" s="47"/>
      <c r="RRF37" s="47"/>
      <c r="RRG37" s="47"/>
      <c r="RRH37" s="47"/>
      <c r="RRI37" s="47"/>
      <c r="RRJ37" s="47"/>
      <c r="RRK37" s="47"/>
      <c r="RRL37" s="47"/>
      <c r="RRM37" s="47"/>
      <c r="RRN37" s="47"/>
      <c r="RRO37" s="47"/>
      <c r="RRP37" s="47"/>
      <c r="RRQ37" s="47"/>
      <c r="RRR37" s="47"/>
      <c r="RRS37" s="47"/>
      <c r="RRT37" s="47"/>
      <c r="RRU37" s="47"/>
      <c r="RRV37" s="47"/>
      <c r="RRW37" s="47"/>
      <c r="RRX37" s="47"/>
      <c r="RRY37" s="47"/>
      <c r="RRZ37" s="47"/>
      <c r="RSA37" s="47"/>
      <c r="RSB37" s="47"/>
      <c r="RSC37" s="47"/>
      <c r="RSD37" s="47"/>
      <c r="RSE37" s="47"/>
      <c r="RSF37" s="47"/>
      <c r="RSG37" s="47"/>
      <c r="RSH37" s="47"/>
      <c r="RSI37" s="47"/>
      <c r="RSJ37" s="47"/>
      <c r="RSK37" s="47"/>
      <c r="RSL37" s="47"/>
      <c r="RSM37" s="47"/>
      <c r="RSN37" s="47"/>
      <c r="RSO37" s="47"/>
      <c r="RSP37" s="47"/>
      <c r="RSQ37" s="47"/>
      <c r="RSR37" s="47"/>
      <c r="RSS37" s="47"/>
      <c r="RST37" s="47"/>
      <c r="RSU37" s="47"/>
      <c r="RSV37" s="47"/>
      <c r="RSW37" s="47"/>
      <c r="RSX37" s="47"/>
      <c r="RSY37" s="47"/>
      <c r="RSZ37" s="47"/>
      <c r="RTA37" s="47"/>
      <c r="RTB37" s="47"/>
      <c r="RTC37" s="47"/>
      <c r="RTD37" s="47"/>
      <c r="RTE37" s="47"/>
      <c r="RTF37" s="47"/>
      <c r="RTG37" s="47"/>
      <c r="RTH37" s="47"/>
      <c r="RTI37" s="47"/>
      <c r="RTJ37" s="47"/>
      <c r="RTK37" s="47"/>
      <c r="RTL37" s="47"/>
      <c r="RTM37" s="47"/>
      <c r="RTN37" s="47"/>
      <c r="RTO37" s="47"/>
      <c r="RTP37" s="47"/>
      <c r="RTQ37" s="47"/>
      <c r="RTR37" s="47"/>
      <c r="RTS37" s="47"/>
      <c r="RTT37" s="47"/>
      <c r="RTU37" s="47"/>
      <c r="RTV37" s="47"/>
      <c r="RTW37" s="47"/>
      <c r="RTX37" s="47"/>
      <c r="RTY37" s="47"/>
      <c r="RTZ37" s="47"/>
      <c r="RUA37" s="47"/>
      <c r="RUB37" s="47"/>
      <c r="RUC37" s="47"/>
      <c r="RUD37" s="47"/>
      <c r="RUE37" s="47"/>
      <c r="RUF37" s="47"/>
      <c r="RUG37" s="47"/>
      <c r="RUH37" s="47"/>
      <c r="RUI37" s="47"/>
      <c r="RUJ37" s="47"/>
      <c r="RUK37" s="47"/>
      <c r="RUL37" s="47"/>
      <c r="RUM37" s="47"/>
      <c r="RUN37" s="47"/>
      <c r="RUO37" s="47"/>
      <c r="RUP37" s="47"/>
      <c r="RUQ37" s="47"/>
      <c r="RUR37" s="47"/>
      <c r="RUS37" s="47"/>
      <c r="RUT37" s="47"/>
      <c r="RUU37" s="47"/>
      <c r="RUV37" s="47"/>
      <c r="RUW37" s="47"/>
      <c r="RUX37" s="47"/>
      <c r="RUY37" s="47"/>
      <c r="RUZ37" s="47"/>
      <c r="RVA37" s="47"/>
      <c r="RVB37" s="47"/>
      <c r="RVC37" s="47"/>
      <c r="RVD37" s="47"/>
      <c r="RVE37" s="47"/>
      <c r="RVF37" s="47"/>
      <c r="RVG37" s="47"/>
      <c r="RVH37" s="47"/>
      <c r="RVI37" s="47"/>
      <c r="RVJ37" s="47"/>
      <c r="RVK37" s="47"/>
      <c r="RVL37" s="47"/>
      <c r="RVM37" s="47"/>
      <c r="RVN37" s="47"/>
      <c r="RVO37" s="47"/>
      <c r="RVP37" s="47"/>
      <c r="RVQ37" s="47"/>
      <c r="RVR37" s="47"/>
      <c r="RVS37" s="47"/>
      <c r="RVT37" s="47"/>
      <c r="RVU37" s="47"/>
      <c r="RVV37" s="47"/>
      <c r="RVW37" s="47"/>
      <c r="RVX37" s="47"/>
      <c r="RVY37" s="47"/>
      <c r="RVZ37" s="47"/>
      <c r="RWA37" s="47"/>
      <c r="RWB37" s="47"/>
      <c r="RWC37" s="47"/>
      <c r="RWD37" s="47"/>
      <c r="RWE37" s="47"/>
      <c r="RWF37" s="47"/>
      <c r="RWG37" s="47"/>
      <c r="RWH37" s="47"/>
      <c r="RWI37" s="47"/>
      <c r="RWJ37" s="47"/>
      <c r="RWK37" s="47"/>
      <c r="RWL37" s="47"/>
      <c r="RWM37" s="47"/>
      <c r="RWN37" s="47"/>
      <c r="RWO37" s="47"/>
      <c r="RWP37" s="47"/>
      <c r="RWQ37" s="47"/>
      <c r="RWR37" s="47"/>
      <c r="RWS37" s="47"/>
      <c r="RWT37" s="47"/>
      <c r="RWU37" s="47"/>
      <c r="RWV37" s="47"/>
      <c r="RWW37" s="47"/>
      <c r="RWX37" s="47"/>
      <c r="RWY37" s="47"/>
      <c r="RWZ37" s="47"/>
      <c r="RXA37" s="47"/>
      <c r="RXB37" s="47"/>
      <c r="RXC37" s="47"/>
      <c r="RXD37" s="47"/>
      <c r="RXE37" s="47"/>
      <c r="RXF37" s="47"/>
      <c r="RXG37" s="47"/>
      <c r="RXH37" s="47"/>
      <c r="RXI37" s="47"/>
      <c r="RXJ37" s="47"/>
      <c r="RXK37" s="47"/>
      <c r="RXL37" s="47"/>
      <c r="RXM37" s="47"/>
      <c r="RXN37" s="47"/>
      <c r="RXO37" s="47"/>
      <c r="RXP37" s="47"/>
      <c r="RXQ37" s="47"/>
      <c r="RXR37" s="47"/>
      <c r="RXS37" s="47"/>
      <c r="RXT37" s="47"/>
      <c r="RXU37" s="47"/>
      <c r="RXV37" s="47"/>
      <c r="RXW37" s="47"/>
      <c r="RXX37" s="47"/>
      <c r="RXY37" s="47"/>
      <c r="RXZ37" s="47"/>
      <c r="RYA37" s="47"/>
      <c r="RYB37" s="47"/>
      <c r="RYC37" s="47"/>
      <c r="RYD37" s="47"/>
      <c r="RYE37" s="47"/>
      <c r="RYF37" s="47"/>
      <c r="RYG37" s="47"/>
      <c r="RYH37" s="47"/>
      <c r="RYI37" s="47"/>
      <c r="RYJ37" s="47"/>
      <c r="RYK37" s="47"/>
      <c r="RYL37" s="47"/>
      <c r="RYM37" s="47"/>
      <c r="RYN37" s="47"/>
      <c r="RYO37" s="47"/>
      <c r="RYP37" s="47"/>
      <c r="RYQ37" s="47"/>
      <c r="RYR37" s="47"/>
      <c r="RYS37" s="47"/>
      <c r="RYT37" s="47"/>
      <c r="RYU37" s="47"/>
      <c r="RYV37" s="47"/>
      <c r="RYW37" s="47"/>
      <c r="RYX37" s="47"/>
      <c r="RYY37" s="47"/>
      <c r="RYZ37" s="47"/>
      <c r="RZA37" s="47"/>
      <c r="RZB37" s="47"/>
      <c r="RZC37" s="47"/>
      <c r="RZD37" s="47"/>
      <c r="RZE37" s="47"/>
      <c r="RZF37" s="47"/>
      <c r="RZG37" s="47"/>
      <c r="RZH37" s="47"/>
      <c r="RZI37" s="47"/>
      <c r="RZJ37" s="47"/>
      <c r="RZK37" s="47"/>
      <c r="RZL37" s="47"/>
      <c r="RZM37" s="47"/>
      <c r="RZN37" s="47"/>
      <c r="RZO37" s="47"/>
      <c r="RZP37" s="47"/>
      <c r="RZQ37" s="47"/>
      <c r="RZR37" s="47"/>
      <c r="RZS37" s="47"/>
      <c r="RZT37" s="47"/>
      <c r="RZU37" s="47"/>
      <c r="RZV37" s="47"/>
      <c r="RZW37" s="47"/>
      <c r="RZX37" s="47"/>
      <c r="RZY37" s="47"/>
      <c r="RZZ37" s="47"/>
      <c r="SAA37" s="47"/>
      <c r="SAB37" s="47"/>
      <c r="SAC37" s="47"/>
      <c r="SAD37" s="47"/>
      <c r="SAE37" s="47"/>
      <c r="SAF37" s="47"/>
      <c r="SAG37" s="47"/>
      <c r="SAH37" s="47"/>
      <c r="SAI37" s="47"/>
      <c r="SAJ37" s="47"/>
      <c r="SAK37" s="47"/>
      <c r="SAL37" s="47"/>
      <c r="SAM37" s="47"/>
      <c r="SAN37" s="47"/>
      <c r="SAO37" s="47"/>
      <c r="SAP37" s="47"/>
      <c r="SAQ37" s="47"/>
      <c r="SAR37" s="47"/>
      <c r="SAS37" s="47"/>
      <c r="SAT37" s="47"/>
      <c r="SAU37" s="47"/>
      <c r="SAV37" s="47"/>
      <c r="SAW37" s="47"/>
      <c r="SAX37" s="47"/>
      <c r="SAY37" s="47"/>
      <c r="SAZ37" s="47"/>
      <c r="SBA37" s="47"/>
      <c r="SBB37" s="47"/>
      <c r="SBC37" s="47"/>
      <c r="SBD37" s="47"/>
      <c r="SBE37" s="47"/>
      <c r="SBF37" s="47"/>
      <c r="SBG37" s="47"/>
      <c r="SBH37" s="47"/>
      <c r="SBI37" s="47"/>
      <c r="SBJ37" s="47"/>
      <c r="SBK37" s="47"/>
      <c r="SBL37" s="47"/>
      <c r="SBM37" s="47"/>
      <c r="SBN37" s="47"/>
      <c r="SBO37" s="47"/>
      <c r="SBP37" s="47"/>
      <c r="SBQ37" s="47"/>
      <c r="SBR37" s="47"/>
      <c r="SBS37" s="47"/>
      <c r="SBT37" s="47"/>
      <c r="SBU37" s="47"/>
      <c r="SBV37" s="47"/>
      <c r="SBW37" s="47"/>
      <c r="SBX37" s="47"/>
      <c r="SBY37" s="47"/>
      <c r="SBZ37" s="47"/>
      <c r="SCA37" s="47"/>
      <c r="SCB37" s="47"/>
      <c r="SCC37" s="47"/>
      <c r="SCD37" s="47"/>
      <c r="SCE37" s="47"/>
      <c r="SCF37" s="47"/>
      <c r="SCG37" s="47"/>
      <c r="SCH37" s="47"/>
      <c r="SCI37" s="47"/>
      <c r="SCJ37" s="47"/>
      <c r="SCK37" s="47"/>
      <c r="SCL37" s="47"/>
      <c r="SCM37" s="47"/>
      <c r="SCN37" s="47"/>
      <c r="SCO37" s="47"/>
      <c r="SCP37" s="47"/>
      <c r="SCQ37" s="47"/>
      <c r="SCR37" s="47"/>
      <c r="SCS37" s="47"/>
      <c r="SCT37" s="47"/>
      <c r="SCU37" s="47"/>
      <c r="SCV37" s="47"/>
      <c r="SCW37" s="47"/>
      <c r="SCX37" s="47"/>
      <c r="SCY37" s="47"/>
      <c r="SCZ37" s="47"/>
      <c r="SDA37" s="47"/>
      <c r="SDB37" s="47"/>
      <c r="SDC37" s="47"/>
      <c r="SDD37" s="47"/>
      <c r="SDE37" s="47"/>
      <c r="SDF37" s="47"/>
      <c r="SDG37" s="47"/>
      <c r="SDH37" s="47"/>
      <c r="SDI37" s="47"/>
      <c r="SDJ37" s="47"/>
      <c r="SDK37" s="47"/>
      <c r="SDL37" s="47"/>
      <c r="SDM37" s="47"/>
      <c r="SDN37" s="47"/>
      <c r="SDO37" s="47"/>
      <c r="SDP37" s="47"/>
      <c r="SDQ37" s="47"/>
      <c r="SDR37" s="47"/>
      <c r="SDS37" s="47"/>
      <c r="SDT37" s="47"/>
      <c r="SDU37" s="47"/>
      <c r="SDV37" s="47"/>
      <c r="SDW37" s="47"/>
      <c r="SDX37" s="47"/>
      <c r="SDY37" s="47"/>
      <c r="SDZ37" s="47"/>
      <c r="SEA37" s="47"/>
      <c r="SEB37" s="47"/>
      <c r="SEC37" s="47"/>
      <c r="SED37" s="47"/>
      <c r="SEE37" s="47"/>
      <c r="SEF37" s="47"/>
      <c r="SEG37" s="47"/>
      <c r="SEH37" s="47"/>
      <c r="SEI37" s="47"/>
      <c r="SEJ37" s="47"/>
      <c r="SEK37" s="47"/>
      <c r="SEL37" s="47"/>
      <c r="SEM37" s="47"/>
      <c r="SEN37" s="47"/>
      <c r="SEO37" s="47"/>
      <c r="SEP37" s="47"/>
      <c r="SEQ37" s="47"/>
      <c r="SER37" s="47"/>
      <c r="SES37" s="47"/>
      <c r="SET37" s="47"/>
      <c r="SEU37" s="47"/>
      <c r="SEV37" s="47"/>
      <c r="SEW37" s="47"/>
      <c r="SEX37" s="47"/>
      <c r="SEY37" s="47"/>
      <c r="SEZ37" s="47"/>
      <c r="SFA37" s="47"/>
      <c r="SFB37" s="47"/>
      <c r="SFC37" s="47"/>
      <c r="SFD37" s="47"/>
      <c r="SFE37" s="47"/>
      <c r="SFF37" s="47"/>
      <c r="SFG37" s="47"/>
      <c r="SFH37" s="47"/>
      <c r="SFI37" s="47"/>
      <c r="SFJ37" s="47"/>
      <c r="SFK37" s="47"/>
      <c r="SFL37" s="47"/>
      <c r="SFM37" s="47"/>
      <c r="SFN37" s="47"/>
      <c r="SFO37" s="47"/>
      <c r="SFP37" s="47"/>
      <c r="SFQ37" s="47"/>
      <c r="SFR37" s="47"/>
      <c r="SFS37" s="47"/>
      <c r="SFT37" s="47"/>
      <c r="SFU37" s="47"/>
      <c r="SFV37" s="47"/>
      <c r="SFW37" s="47"/>
      <c r="SFX37" s="47"/>
      <c r="SFY37" s="47"/>
      <c r="SFZ37" s="47"/>
      <c r="SGA37" s="47"/>
      <c r="SGB37" s="47"/>
      <c r="SGC37" s="47"/>
      <c r="SGD37" s="47"/>
      <c r="SGE37" s="47"/>
      <c r="SGF37" s="47"/>
      <c r="SGG37" s="47"/>
      <c r="SGH37" s="47"/>
      <c r="SGI37" s="47"/>
      <c r="SGJ37" s="47"/>
      <c r="SGK37" s="47"/>
      <c r="SGL37" s="47"/>
      <c r="SGM37" s="47"/>
      <c r="SGN37" s="47"/>
      <c r="SGO37" s="47"/>
      <c r="SGP37" s="47"/>
      <c r="SGQ37" s="47"/>
      <c r="SGR37" s="47"/>
      <c r="SGS37" s="47"/>
      <c r="SGT37" s="47"/>
      <c r="SGU37" s="47"/>
      <c r="SGV37" s="47"/>
      <c r="SGW37" s="47"/>
      <c r="SGX37" s="47"/>
      <c r="SGY37" s="47"/>
      <c r="SGZ37" s="47"/>
      <c r="SHA37" s="47"/>
      <c r="SHB37" s="47"/>
      <c r="SHC37" s="47"/>
      <c r="SHD37" s="47"/>
      <c r="SHE37" s="47"/>
      <c r="SHF37" s="47"/>
      <c r="SHG37" s="47"/>
      <c r="SHH37" s="47"/>
      <c r="SHI37" s="47"/>
      <c r="SHJ37" s="47"/>
      <c r="SHK37" s="47"/>
      <c r="SHL37" s="47"/>
      <c r="SHM37" s="47"/>
      <c r="SHN37" s="47"/>
      <c r="SHO37" s="47"/>
      <c r="SHP37" s="47"/>
      <c r="SHQ37" s="47"/>
      <c r="SHR37" s="47"/>
      <c r="SHS37" s="47"/>
      <c r="SHT37" s="47"/>
      <c r="SHU37" s="47"/>
      <c r="SHV37" s="47"/>
      <c r="SHW37" s="47"/>
      <c r="SHX37" s="47"/>
      <c r="SHY37" s="47"/>
      <c r="SHZ37" s="47"/>
      <c r="SIA37" s="47"/>
      <c r="SIB37" s="47"/>
      <c r="SIC37" s="47"/>
      <c r="SID37" s="47"/>
      <c r="SIE37" s="47"/>
      <c r="SIF37" s="47"/>
      <c r="SIG37" s="47"/>
      <c r="SIH37" s="47"/>
      <c r="SII37" s="47"/>
      <c r="SIJ37" s="47"/>
      <c r="SIK37" s="47"/>
      <c r="SIL37" s="47"/>
      <c r="SIM37" s="47"/>
      <c r="SIN37" s="47"/>
      <c r="SIO37" s="47"/>
      <c r="SIP37" s="47"/>
      <c r="SIQ37" s="47"/>
      <c r="SIR37" s="47"/>
      <c r="SIS37" s="47"/>
      <c r="SIT37" s="47"/>
      <c r="SIU37" s="47"/>
      <c r="SIV37" s="47"/>
      <c r="SIW37" s="47"/>
      <c r="SIX37" s="47"/>
      <c r="SIY37" s="47"/>
      <c r="SIZ37" s="47"/>
      <c r="SJA37" s="47"/>
      <c r="SJB37" s="47"/>
      <c r="SJC37" s="47"/>
      <c r="SJD37" s="47"/>
      <c r="SJE37" s="47"/>
      <c r="SJF37" s="47"/>
      <c r="SJG37" s="47"/>
      <c r="SJH37" s="47"/>
      <c r="SJI37" s="47"/>
      <c r="SJJ37" s="47"/>
      <c r="SJK37" s="47"/>
      <c r="SJL37" s="47"/>
      <c r="SJM37" s="47"/>
      <c r="SJN37" s="47"/>
      <c r="SJO37" s="47"/>
      <c r="SJP37" s="47"/>
      <c r="SJQ37" s="47"/>
      <c r="SJR37" s="47"/>
      <c r="SJS37" s="47"/>
      <c r="SJT37" s="47"/>
      <c r="SJU37" s="47"/>
      <c r="SJV37" s="47"/>
      <c r="SJW37" s="47"/>
      <c r="SJX37" s="47"/>
      <c r="SJY37" s="47"/>
      <c r="SJZ37" s="47"/>
      <c r="SKA37" s="47"/>
      <c r="SKB37" s="47"/>
      <c r="SKC37" s="47"/>
      <c r="SKD37" s="47"/>
      <c r="SKE37" s="47"/>
      <c r="SKF37" s="47"/>
      <c r="SKG37" s="47"/>
      <c r="SKH37" s="47"/>
      <c r="SKI37" s="47"/>
      <c r="SKJ37" s="47"/>
      <c r="SKK37" s="47"/>
      <c r="SKL37" s="47"/>
      <c r="SKM37" s="47"/>
      <c r="SKN37" s="47"/>
      <c r="SKO37" s="47"/>
      <c r="SKP37" s="47"/>
      <c r="SKQ37" s="47"/>
      <c r="SKR37" s="47"/>
      <c r="SKS37" s="47"/>
      <c r="SKT37" s="47"/>
      <c r="SKU37" s="47"/>
      <c r="SKV37" s="47"/>
      <c r="SKW37" s="47"/>
      <c r="SKX37" s="47"/>
      <c r="SKY37" s="47"/>
      <c r="SKZ37" s="47"/>
      <c r="SLA37" s="47"/>
      <c r="SLB37" s="47"/>
      <c r="SLC37" s="47"/>
      <c r="SLD37" s="47"/>
      <c r="SLE37" s="47"/>
      <c r="SLF37" s="47"/>
      <c r="SLG37" s="47"/>
      <c r="SLH37" s="47"/>
      <c r="SLI37" s="47"/>
      <c r="SLJ37" s="47"/>
      <c r="SLK37" s="47"/>
      <c r="SLL37" s="47"/>
      <c r="SLM37" s="47"/>
      <c r="SLN37" s="47"/>
      <c r="SLO37" s="47"/>
      <c r="SLP37" s="47"/>
      <c r="SLQ37" s="47"/>
      <c r="SLR37" s="47"/>
      <c r="SLS37" s="47"/>
      <c r="SLT37" s="47"/>
      <c r="SLU37" s="47"/>
      <c r="SLV37" s="47"/>
      <c r="SLW37" s="47"/>
      <c r="SLX37" s="47"/>
      <c r="SLY37" s="47"/>
      <c r="SLZ37" s="47"/>
      <c r="SMA37" s="47"/>
      <c r="SMB37" s="47"/>
      <c r="SMC37" s="47"/>
      <c r="SMD37" s="47"/>
      <c r="SME37" s="47"/>
      <c r="SMF37" s="47"/>
      <c r="SMG37" s="47"/>
      <c r="SMH37" s="47"/>
      <c r="SMI37" s="47"/>
      <c r="SMJ37" s="47"/>
      <c r="SMK37" s="47"/>
      <c r="SML37" s="47"/>
      <c r="SMM37" s="47"/>
      <c r="SMN37" s="47"/>
      <c r="SMO37" s="47"/>
      <c r="SMP37" s="47"/>
      <c r="SMQ37" s="47"/>
      <c r="SMR37" s="47"/>
      <c r="SMS37" s="47"/>
      <c r="SMT37" s="47"/>
      <c r="SMU37" s="47"/>
      <c r="SMV37" s="47"/>
      <c r="SMW37" s="47"/>
      <c r="SMX37" s="47"/>
      <c r="SMY37" s="47"/>
      <c r="SMZ37" s="47"/>
      <c r="SNA37" s="47"/>
      <c r="SNB37" s="47"/>
      <c r="SNC37" s="47"/>
      <c r="SND37" s="47"/>
      <c r="SNE37" s="47"/>
      <c r="SNF37" s="47"/>
      <c r="SNG37" s="47"/>
      <c r="SNH37" s="47"/>
      <c r="SNI37" s="47"/>
      <c r="SNJ37" s="47"/>
      <c r="SNK37" s="47"/>
      <c r="SNL37" s="47"/>
      <c r="SNM37" s="47"/>
      <c r="SNN37" s="47"/>
      <c r="SNO37" s="47"/>
      <c r="SNP37" s="47"/>
      <c r="SNQ37" s="47"/>
      <c r="SNR37" s="47"/>
      <c r="SNS37" s="47"/>
      <c r="SNT37" s="47"/>
      <c r="SNU37" s="47"/>
      <c r="SNV37" s="47"/>
      <c r="SNW37" s="47"/>
      <c r="SNX37" s="47"/>
      <c r="SNY37" s="47"/>
      <c r="SNZ37" s="47"/>
      <c r="SOA37" s="47"/>
      <c r="SOB37" s="47"/>
      <c r="SOC37" s="47"/>
      <c r="SOD37" s="47"/>
      <c r="SOE37" s="47"/>
      <c r="SOF37" s="47"/>
      <c r="SOG37" s="47"/>
      <c r="SOH37" s="47"/>
      <c r="SOI37" s="47"/>
      <c r="SOJ37" s="47"/>
      <c r="SOK37" s="47"/>
      <c r="SOL37" s="47"/>
      <c r="SOM37" s="47"/>
      <c r="SON37" s="47"/>
      <c r="SOO37" s="47"/>
      <c r="SOP37" s="47"/>
      <c r="SOQ37" s="47"/>
      <c r="SOR37" s="47"/>
      <c r="SOS37" s="47"/>
      <c r="SOT37" s="47"/>
      <c r="SOU37" s="47"/>
      <c r="SOV37" s="47"/>
      <c r="SOW37" s="47"/>
      <c r="SOX37" s="47"/>
      <c r="SOY37" s="47"/>
      <c r="SOZ37" s="47"/>
      <c r="SPA37" s="47"/>
      <c r="SPB37" s="47"/>
      <c r="SPC37" s="47"/>
      <c r="SPD37" s="47"/>
      <c r="SPE37" s="47"/>
      <c r="SPF37" s="47"/>
      <c r="SPG37" s="47"/>
      <c r="SPH37" s="47"/>
      <c r="SPI37" s="47"/>
      <c r="SPJ37" s="47"/>
      <c r="SPK37" s="47"/>
      <c r="SPL37" s="47"/>
      <c r="SPM37" s="47"/>
      <c r="SPN37" s="47"/>
      <c r="SPO37" s="47"/>
      <c r="SPP37" s="47"/>
      <c r="SPQ37" s="47"/>
      <c r="SPR37" s="47"/>
      <c r="SPS37" s="47"/>
      <c r="SPT37" s="47"/>
      <c r="SPU37" s="47"/>
      <c r="SPV37" s="47"/>
      <c r="SPW37" s="47"/>
      <c r="SPX37" s="47"/>
      <c r="SPY37" s="47"/>
      <c r="SPZ37" s="47"/>
      <c r="SQA37" s="47"/>
      <c r="SQB37" s="47"/>
      <c r="SQC37" s="47"/>
      <c r="SQD37" s="47"/>
      <c r="SQE37" s="47"/>
      <c r="SQF37" s="47"/>
      <c r="SQG37" s="47"/>
      <c r="SQH37" s="47"/>
      <c r="SQI37" s="47"/>
      <c r="SQJ37" s="47"/>
      <c r="SQK37" s="47"/>
      <c r="SQL37" s="47"/>
      <c r="SQM37" s="47"/>
      <c r="SQN37" s="47"/>
      <c r="SQO37" s="47"/>
      <c r="SQP37" s="47"/>
      <c r="SQQ37" s="47"/>
      <c r="SQR37" s="47"/>
      <c r="SQS37" s="47"/>
      <c r="SQT37" s="47"/>
      <c r="SQU37" s="47"/>
      <c r="SQV37" s="47"/>
      <c r="SQW37" s="47"/>
      <c r="SQX37" s="47"/>
      <c r="SQY37" s="47"/>
      <c r="SQZ37" s="47"/>
      <c r="SRA37" s="47"/>
      <c r="SRB37" s="47"/>
      <c r="SRC37" s="47"/>
      <c r="SRD37" s="47"/>
      <c r="SRE37" s="47"/>
      <c r="SRF37" s="47"/>
      <c r="SRG37" s="47"/>
      <c r="SRH37" s="47"/>
      <c r="SRI37" s="47"/>
      <c r="SRJ37" s="47"/>
      <c r="SRK37" s="47"/>
      <c r="SRL37" s="47"/>
      <c r="SRM37" s="47"/>
      <c r="SRN37" s="47"/>
      <c r="SRO37" s="47"/>
      <c r="SRP37" s="47"/>
      <c r="SRQ37" s="47"/>
      <c r="SRR37" s="47"/>
      <c r="SRS37" s="47"/>
      <c r="SRT37" s="47"/>
      <c r="SRU37" s="47"/>
      <c r="SRV37" s="47"/>
      <c r="SRW37" s="47"/>
      <c r="SRX37" s="47"/>
      <c r="SRY37" s="47"/>
      <c r="SRZ37" s="47"/>
      <c r="SSA37" s="47"/>
      <c r="SSB37" s="47"/>
      <c r="SSC37" s="47"/>
      <c r="SSD37" s="47"/>
      <c r="SSE37" s="47"/>
      <c r="SSF37" s="47"/>
      <c r="SSG37" s="47"/>
      <c r="SSH37" s="47"/>
      <c r="SSI37" s="47"/>
      <c r="SSJ37" s="47"/>
      <c r="SSK37" s="47"/>
      <c r="SSL37" s="47"/>
      <c r="SSM37" s="47"/>
      <c r="SSN37" s="47"/>
      <c r="SSO37" s="47"/>
      <c r="SSP37" s="47"/>
      <c r="SSQ37" s="47"/>
      <c r="SSR37" s="47"/>
      <c r="SSS37" s="47"/>
      <c r="SST37" s="47"/>
      <c r="SSU37" s="47"/>
      <c r="SSV37" s="47"/>
      <c r="SSW37" s="47"/>
      <c r="SSX37" s="47"/>
      <c r="SSY37" s="47"/>
      <c r="SSZ37" s="47"/>
      <c r="STA37" s="47"/>
      <c r="STB37" s="47"/>
      <c r="STC37" s="47"/>
      <c r="STD37" s="47"/>
      <c r="STE37" s="47"/>
      <c r="STF37" s="47"/>
      <c r="STG37" s="47"/>
      <c r="STH37" s="47"/>
      <c r="STI37" s="47"/>
      <c r="STJ37" s="47"/>
      <c r="STK37" s="47"/>
      <c r="STL37" s="47"/>
      <c r="STM37" s="47"/>
      <c r="STN37" s="47"/>
      <c r="STO37" s="47"/>
      <c r="STP37" s="47"/>
      <c r="STQ37" s="47"/>
      <c r="STR37" s="47"/>
      <c r="STS37" s="47"/>
      <c r="STT37" s="47"/>
      <c r="STU37" s="47"/>
      <c r="STV37" s="47"/>
      <c r="STW37" s="47"/>
      <c r="STX37" s="47"/>
      <c r="STY37" s="47"/>
      <c r="STZ37" s="47"/>
      <c r="SUA37" s="47"/>
      <c r="SUB37" s="47"/>
      <c r="SUC37" s="47"/>
      <c r="SUD37" s="47"/>
      <c r="SUE37" s="47"/>
      <c r="SUF37" s="47"/>
      <c r="SUG37" s="47"/>
      <c r="SUH37" s="47"/>
      <c r="SUI37" s="47"/>
      <c r="SUJ37" s="47"/>
      <c r="SUK37" s="47"/>
      <c r="SUL37" s="47"/>
      <c r="SUM37" s="47"/>
      <c r="SUN37" s="47"/>
      <c r="SUO37" s="47"/>
      <c r="SUP37" s="47"/>
      <c r="SUQ37" s="47"/>
      <c r="SUR37" s="47"/>
      <c r="SUS37" s="47"/>
      <c r="SUT37" s="47"/>
      <c r="SUU37" s="47"/>
      <c r="SUV37" s="47"/>
      <c r="SUW37" s="47"/>
      <c r="SUX37" s="47"/>
      <c r="SUY37" s="47"/>
      <c r="SUZ37" s="47"/>
      <c r="SVA37" s="47"/>
      <c r="SVB37" s="47"/>
      <c r="SVC37" s="47"/>
      <c r="SVD37" s="47"/>
      <c r="SVE37" s="47"/>
      <c r="SVF37" s="47"/>
      <c r="SVG37" s="47"/>
      <c r="SVH37" s="47"/>
      <c r="SVI37" s="47"/>
      <c r="SVJ37" s="47"/>
      <c r="SVK37" s="47"/>
      <c r="SVL37" s="47"/>
      <c r="SVM37" s="47"/>
      <c r="SVN37" s="47"/>
      <c r="SVO37" s="47"/>
      <c r="SVP37" s="47"/>
      <c r="SVQ37" s="47"/>
      <c r="SVR37" s="47"/>
      <c r="SVS37" s="47"/>
      <c r="SVT37" s="47"/>
      <c r="SVU37" s="47"/>
      <c r="SVV37" s="47"/>
      <c r="SVW37" s="47"/>
      <c r="SVX37" s="47"/>
      <c r="SVY37" s="47"/>
      <c r="SVZ37" s="47"/>
      <c r="SWA37" s="47"/>
      <c r="SWB37" s="47"/>
      <c r="SWC37" s="47"/>
      <c r="SWD37" s="47"/>
      <c r="SWE37" s="47"/>
      <c r="SWF37" s="47"/>
      <c r="SWG37" s="47"/>
      <c r="SWH37" s="47"/>
      <c r="SWI37" s="47"/>
      <c r="SWJ37" s="47"/>
      <c r="SWK37" s="47"/>
      <c r="SWL37" s="47"/>
      <c r="SWM37" s="47"/>
      <c r="SWN37" s="47"/>
      <c r="SWO37" s="47"/>
      <c r="SWP37" s="47"/>
      <c r="SWQ37" s="47"/>
      <c r="SWR37" s="47"/>
      <c r="SWS37" s="47"/>
      <c r="SWT37" s="47"/>
      <c r="SWU37" s="47"/>
      <c r="SWV37" s="47"/>
      <c r="SWW37" s="47"/>
      <c r="SWX37" s="47"/>
      <c r="SWY37" s="47"/>
      <c r="SWZ37" s="47"/>
      <c r="SXA37" s="47"/>
      <c r="SXB37" s="47"/>
      <c r="SXC37" s="47"/>
      <c r="SXD37" s="47"/>
      <c r="SXE37" s="47"/>
      <c r="SXF37" s="47"/>
      <c r="SXG37" s="47"/>
      <c r="SXH37" s="47"/>
      <c r="SXI37" s="47"/>
      <c r="SXJ37" s="47"/>
      <c r="SXK37" s="47"/>
      <c r="SXL37" s="47"/>
      <c r="SXM37" s="47"/>
      <c r="SXN37" s="47"/>
      <c r="SXO37" s="47"/>
      <c r="SXP37" s="47"/>
      <c r="SXQ37" s="47"/>
      <c r="SXR37" s="47"/>
      <c r="SXS37" s="47"/>
      <c r="SXT37" s="47"/>
      <c r="SXU37" s="47"/>
      <c r="SXV37" s="47"/>
      <c r="SXW37" s="47"/>
      <c r="SXX37" s="47"/>
      <c r="SXY37" s="47"/>
      <c r="SXZ37" s="47"/>
      <c r="SYA37" s="47"/>
      <c r="SYB37" s="47"/>
      <c r="SYC37" s="47"/>
      <c r="SYD37" s="47"/>
      <c r="SYE37" s="47"/>
      <c r="SYF37" s="47"/>
      <c r="SYG37" s="47"/>
      <c r="SYH37" s="47"/>
      <c r="SYI37" s="47"/>
      <c r="SYJ37" s="47"/>
      <c r="SYK37" s="47"/>
      <c r="SYL37" s="47"/>
      <c r="SYM37" s="47"/>
      <c r="SYN37" s="47"/>
      <c r="SYO37" s="47"/>
      <c r="SYP37" s="47"/>
      <c r="SYQ37" s="47"/>
      <c r="SYR37" s="47"/>
      <c r="SYS37" s="47"/>
      <c r="SYT37" s="47"/>
      <c r="SYU37" s="47"/>
      <c r="SYV37" s="47"/>
      <c r="SYW37" s="47"/>
      <c r="SYX37" s="47"/>
      <c r="SYY37" s="47"/>
      <c r="SYZ37" s="47"/>
      <c r="SZA37" s="47"/>
      <c r="SZB37" s="47"/>
      <c r="SZC37" s="47"/>
      <c r="SZD37" s="47"/>
      <c r="SZE37" s="47"/>
      <c r="SZF37" s="47"/>
      <c r="SZG37" s="47"/>
      <c r="SZH37" s="47"/>
      <c r="SZI37" s="47"/>
      <c r="SZJ37" s="47"/>
      <c r="SZK37" s="47"/>
      <c r="SZL37" s="47"/>
      <c r="SZM37" s="47"/>
      <c r="SZN37" s="47"/>
      <c r="SZO37" s="47"/>
      <c r="SZP37" s="47"/>
      <c r="SZQ37" s="47"/>
      <c r="SZR37" s="47"/>
      <c r="SZS37" s="47"/>
      <c r="SZT37" s="47"/>
      <c r="SZU37" s="47"/>
      <c r="SZV37" s="47"/>
      <c r="SZW37" s="47"/>
      <c r="SZX37" s="47"/>
      <c r="SZY37" s="47"/>
      <c r="SZZ37" s="47"/>
      <c r="TAA37" s="47"/>
      <c r="TAB37" s="47"/>
      <c r="TAC37" s="47"/>
      <c r="TAD37" s="47"/>
      <c r="TAE37" s="47"/>
      <c r="TAF37" s="47"/>
      <c r="TAG37" s="47"/>
      <c r="TAH37" s="47"/>
      <c r="TAI37" s="47"/>
      <c r="TAJ37" s="47"/>
      <c r="TAK37" s="47"/>
      <c r="TAL37" s="47"/>
      <c r="TAM37" s="47"/>
      <c r="TAN37" s="47"/>
      <c r="TAO37" s="47"/>
      <c r="TAP37" s="47"/>
      <c r="TAQ37" s="47"/>
      <c r="TAR37" s="47"/>
      <c r="TAS37" s="47"/>
      <c r="TAT37" s="47"/>
      <c r="TAU37" s="47"/>
      <c r="TAV37" s="47"/>
      <c r="TAW37" s="47"/>
      <c r="TAX37" s="47"/>
      <c r="TAY37" s="47"/>
      <c r="TAZ37" s="47"/>
      <c r="TBA37" s="47"/>
      <c r="TBB37" s="47"/>
      <c r="TBC37" s="47"/>
      <c r="TBD37" s="47"/>
      <c r="TBE37" s="47"/>
      <c r="TBF37" s="47"/>
      <c r="TBG37" s="47"/>
      <c r="TBH37" s="47"/>
      <c r="TBI37" s="47"/>
      <c r="TBJ37" s="47"/>
      <c r="TBK37" s="47"/>
      <c r="TBL37" s="47"/>
      <c r="TBM37" s="47"/>
      <c r="TBN37" s="47"/>
      <c r="TBO37" s="47"/>
      <c r="TBP37" s="47"/>
      <c r="TBQ37" s="47"/>
      <c r="TBR37" s="47"/>
      <c r="TBS37" s="47"/>
      <c r="TBT37" s="47"/>
      <c r="TBU37" s="47"/>
      <c r="TBV37" s="47"/>
      <c r="TBW37" s="47"/>
      <c r="TBX37" s="47"/>
      <c r="TBY37" s="47"/>
      <c r="TBZ37" s="47"/>
      <c r="TCA37" s="47"/>
      <c r="TCB37" s="47"/>
      <c r="TCC37" s="47"/>
      <c r="TCD37" s="47"/>
      <c r="TCE37" s="47"/>
      <c r="TCF37" s="47"/>
      <c r="TCG37" s="47"/>
      <c r="TCH37" s="47"/>
      <c r="TCI37" s="47"/>
      <c r="TCJ37" s="47"/>
      <c r="TCK37" s="47"/>
      <c r="TCL37" s="47"/>
      <c r="TCM37" s="47"/>
      <c r="TCN37" s="47"/>
      <c r="TCO37" s="47"/>
      <c r="TCP37" s="47"/>
      <c r="TCQ37" s="47"/>
      <c r="TCR37" s="47"/>
      <c r="TCS37" s="47"/>
      <c r="TCT37" s="47"/>
      <c r="TCU37" s="47"/>
      <c r="TCV37" s="47"/>
      <c r="TCW37" s="47"/>
      <c r="TCX37" s="47"/>
      <c r="TCY37" s="47"/>
      <c r="TCZ37" s="47"/>
      <c r="TDA37" s="47"/>
      <c r="TDB37" s="47"/>
      <c r="TDC37" s="47"/>
      <c r="TDD37" s="47"/>
      <c r="TDE37" s="47"/>
      <c r="TDF37" s="47"/>
      <c r="TDG37" s="47"/>
      <c r="TDH37" s="47"/>
      <c r="TDI37" s="47"/>
      <c r="TDJ37" s="47"/>
      <c r="TDK37" s="47"/>
      <c r="TDL37" s="47"/>
      <c r="TDM37" s="47"/>
      <c r="TDN37" s="47"/>
      <c r="TDO37" s="47"/>
      <c r="TDP37" s="47"/>
      <c r="TDQ37" s="47"/>
      <c r="TDR37" s="47"/>
      <c r="TDS37" s="47"/>
      <c r="TDT37" s="47"/>
      <c r="TDU37" s="47"/>
      <c r="TDV37" s="47"/>
      <c r="TDW37" s="47"/>
      <c r="TDX37" s="47"/>
      <c r="TDY37" s="47"/>
      <c r="TDZ37" s="47"/>
      <c r="TEA37" s="47"/>
      <c r="TEB37" s="47"/>
      <c r="TEC37" s="47"/>
      <c r="TED37" s="47"/>
      <c r="TEE37" s="47"/>
      <c r="TEF37" s="47"/>
      <c r="TEG37" s="47"/>
      <c r="TEH37" s="47"/>
      <c r="TEI37" s="47"/>
      <c r="TEJ37" s="47"/>
      <c r="TEK37" s="47"/>
      <c r="TEL37" s="47"/>
      <c r="TEM37" s="47"/>
      <c r="TEN37" s="47"/>
      <c r="TEO37" s="47"/>
      <c r="TEP37" s="47"/>
      <c r="TEQ37" s="47"/>
      <c r="TER37" s="47"/>
      <c r="TES37" s="47"/>
      <c r="TET37" s="47"/>
      <c r="TEU37" s="47"/>
      <c r="TEV37" s="47"/>
      <c r="TEW37" s="47"/>
      <c r="TEX37" s="47"/>
      <c r="TEY37" s="47"/>
      <c r="TEZ37" s="47"/>
      <c r="TFA37" s="47"/>
      <c r="TFB37" s="47"/>
      <c r="TFC37" s="47"/>
      <c r="TFD37" s="47"/>
      <c r="TFE37" s="47"/>
      <c r="TFF37" s="47"/>
      <c r="TFG37" s="47"/>
      <c r="TFH37" s="47"/>
      <c r="TFI37" s="47"/>
      <c r="TFJ37" s="47"/>
      <c r="TFK37" s="47"/>
      <c r="TFL37" s="47"/>
      <c r="TFM37" s="47"/>
      <c r="TFN37" s="47"/>
      <c r="TFO37" s="47"/>
      <c r="TFP37" s="47"/>
      <c r="TFQ37" s="47"/>
      <c r="TFR37" s="47"/>
      <c r="TFS37" s="47"/>
      <c r="TFT37" s="47"/>
      <c r="TFU37" s="47"/>
      <c r="TFV37" s="47"/>
      <c r="TFW37" s="47"/>
      <c r="TFX37" s="47"/>
      <c r="TFY37" s="47"/>
      <c r="TFZ37" s="47"/>
      <c r="TGA37" s="47"/>
      <c r="TGB37" s="47"/>
      <c r="TGC37" s="47"/>
      <c r="TGD37" s="47"/>
      <c r="TGE37" s="47"/>
      <c r="TGF37" s="47"/>
      <c r="TGG37" s="47"/>
      <c r="TGH37" s="47"/>
      <c r="TGI37" s="47"/>
      <c r="TGJ37" s="47"/>
      <c r="TGK37" s="47"/>
      <c r="TGL37" s="47"/>
      <c r="TGM37" s="47"/>
      <c r="TGN37" s="47"/>
      <c r="TGO37" s="47"/>
      <c r="TGP37" s="47"/>
      <c r="TGQ37" s="47"/>
      <c r="TGR37" s="47"/>
      <c r="TGS37" s="47"/>
      <c r="TGT37" s="47"/>
      <c r="TGU37" s="47"/>
      <c r="TGV37" s="47"/>
      <c r="TGW37" s="47"/>
      <c r="TGX37" s="47"/>
      <c r="TGY37" s="47"/>
      <c r="TGZ37" s="47"/>
      <c r="THA37" s="47"/>
      <c r="THB37" s="47"/>
      <c r="THC37" s="47"/>
      <c r="THD37" s="47"/>
      <c r="THE37" s="47"/>
      <c r="THF37" s="47"/>
      <c r="THG37" s="47"/>
      <c r="THH37" s="47"/>
      <c r="THI37" s="47"/>
      <c r="THJ37" s="47"/>
      <c r="THK37" s="47"/>
      <c r="THL37" s="47"/>
      <c r="THM37" s="47"/>
      <c r="THN37" s="47"/>
      <c r="THO37" s="47"/>
      <c r="THP37" s="47"/>
      <c r="THQ37" s="47"/>
      <c r="THR37" s="47"/>
      <c r="THS37" s="47"/>
      <c r="THT37" s="47"/>
      <c r="THU37" s="47"/>
      <c r="THV37" s="47"/>
      <c r="THW37" s="47"/>
      <c r="THX37" s="47"/>
      <c r="THY37" s="47"/>
      <c r="THZ37" s="47"/>
      <c r="TIA37" s="47"/>
      <c r="TIB37" s="47"/>
      <c r="TIC37" s="47"/>
      <c r="TID37" s="47"/>
      <c r="TIE37" s="47"/>
      <c r="TIF37" s="47"/>
      <c r="TIG37" s="47"/>
      <c r="TIH37" s="47"/>
      <c r="TII37" s="47"/>
      <c r="TIJ37" s="47"/>
      <c r="TIK37" s="47"/>
      <c r="TIL37" s="47"/>
      <c r="TIM37" s="47"/>
      <c r="TIN37" s="47"/>
      <c r="TIO37" s="47"/>
      <c r="TIP37" s="47"/>
      <c r="TIQ37" s="47"/>
      <c r="TIR37" s="47"/>
      <c r="TIS37" s="47"/>
      <c r="TIT37" s="47"/>
      <c r="TIU37" s="47"/>
      <c r="TIV37" s="47"/>
      <c r="TIW37" s="47"/>
      <c r="TIX37" s="47"/>
      <c r="TIY37" s="47"/>
      <c r="TIZ37" s="47"/>
      <c r="TJA37" s="47"/>
      <c r="TJB37" s="47"/>
      <c r="TJC37" s="47"/>
      <c r="TJD37" s="47"/>
      <c r="TJE37" s="47"/>
      <c r="TJF37" s="47"/>
      <c r="TJG37" s="47"/>
      <c r="TJH37" s="47"/>
      <c r="TJI37" s="47"/>
      <c r="TJJ37" s="47"/>
      <c r="TJK37" s="47"/>
      <c r="TJL37" s="47"/>
      <c r="TJM37" s="47"/>
      <c r="TJN37" s="47"/>
      <c r="TJO37" s="47"/>
      <c r="TJP37" s="47"/>
      <c r="TJQ37" s="47"/>
      <c r="TJR37" s="47"/>
      <c r="TJS37" s="47"/>
      <c r="TJT37" s="47"/>
      <c r="TJU37" s="47"/>
      <c r="TJV37" s="47"/>
      <c r="TJW37" s="47"/>
      <c r="TJX37" s="47"/>
      <c r="TJY37" s="47"/>
      <c r="TJZ37" s="47"/>
      <c r="TKA37" s="47"/>
      <c r="TKB37" s="47"/>
      <c r="TKC37" s="47"/>
      <c r="TKD37" s="47"/>
      <c r="TKE37" s="47"/>
      <c r="TKF37" s="47"/>
      <c r="TKG37" s="47"/>
      <c r="TKH37" s="47"/>
      <c r="TKI37" s="47"/>
      <c r="TKJ37" s="47"/>
      <c r="TKK37" s="47"/>
      <c r="TKL37" s="47"/>
      <c r="TKM37" s="47"/>
      <c r="TKN37" s="47"/>
      <c r="TKO37" s="47"/>
      <c r="TKP37" s="47"/>
      <c r="TKQ37" s="47"/>
      <c r="TKR37" s="47"/>
      <c r="TKS37" s="47"/>
      <c r="TKT37" s="47"/>
      <c r="TKU37" s="47"/>
      <c r="TKV37" s="47"/>
      <c r="TKW37" s="47"/>
      <c r="TKX37" s="47"/>
      <c r="TKY37" s="47"/>
      <c r="TKZ37" s="47"/>
      <c r="TLA37" s="47"/>
      <c r="TLB37" s="47"/>
      <c r="TLC37" s="47"/>
      <c r="TLD37" s="47"/>
      <c r="TLE37" s="47"/>
      <c r="TLF37" s="47"/>
      <c r="TLG37" s="47"/>
      <c r="TLH37" s="47"/>
      <c r="TLI37" s="47"/>
      <c r="TLJ37" s="47"/>
      <c r="TLK37" s="47"/>
      <c r="TLL37" s="47"/>
      <c r="TLM37" s="47"/>
      <c r="TLN37" s="47"/>
      <c r="TLO37" s="47"/>
      <c r="TLP37" s="47"/>
      <c r="TLQ37" s="47"/>
      <c r="TLR37" s="47"/>
      <c r="TLS37" s="47"/>
      <c r="TLT37" s="47"/>
      <c r="TLU37" s="47"/>
      <c r="TLV37" s="47"/>
      <c r="TLW37" s="47"/>
      <c r="TLX37" s="47"/>
      <c r="TLY37" s="47"/>
      <c r="TLZ37" s="47"/>
      <c r="TMA37" s="47"/>
      <c r="TMB37" s="47"/>
      <c r="TMC37" s="47"/>
      <c r="TMD37" s="47"/>
      <c r="TME37" s="47"/>
      <c r="TMF37" s="47"/>
      <c r="TMG37" s="47"/>
      <c r="TMH37" s="47"/>
      <c r="TMI37" s="47"/>
      <c r="TMJ37" s="47"/>
      <c r="TMK37" s="47"/>
      <c r="TML37" s="47"/>
      <c r="TMM37" s="47"/>
      <c r="TMN37" s="47"/>
      <c r="TMO37" s="47"/>
      <c r="TMP37" s="47"/>
      <c r="TMQ37" s="47"/>
      <c r="TMR37" s="47"/>
      <c r="TMS37" s="47"/>
      <c r="TMT37" s="47"/>
      <c r="TMU37" s="47"/>
      <c r="TMV37" s="47"/>
      <c r="TMW37" s="47"/>
      <c r="TMX37" s="47"/>
      <c r="TMY37" s="47"/>
      <c r="TMZ37" s="47"/>
      <c r="TNA37" s="47"/>
      <c r="TNB37" s="47"/>
      <c r="TNC37" s="47"/>
      <c r="TND37" s="47"/>
      <c r="TNE37" s="47"/>
      <c r="TNF37" s="47"/>
      <c r="TNG37" s="47"/>
      <c r="TNH37" s="47"/>
      <c r="TNI37" s="47"/>
      <c r="TNJ37" s="47"/>
      <c r="TNK37" s="47"/>
      <c r="TNL37" s="47"/>
      <c r="TNM37" s="47"/>
      <c r="TNN37" s="47"/>
      <c r="TNO37" s="47"/>
      <c r="TNP37" s="47"/>
      <c r="TNQ37" s="47"/>
      <c r="TNR37" s="47"/>
      <c r="TNS37" s="47"/>
      <c r="TNT37" s="47"/>
      <c r="TNU37" s="47"/>
      <c r="TNV37" s="47"/>
      <c r="TNW37" s="47"/>
      <c r="TNX37" s="47"/>
      <c r="TNY37" s="47"/>
      <c r="TNZ37" s="47"/>
      <c r="TOA37" s="47"/>
      <c r="TOB37" s="47"/>
      <c r="TOC37" s="47"/>
      <c r="TOD37" s="47"/>
      <c r="TOE37" s="47"/>
      <c r="TOF37" s="47"/>
      <c r="TOG37" s="47"/>
      <c r="TOH37" s="47"/>
      <c r="TOI37" s="47"/>
      <c r="TOJ37" s="47"/>
      <c r="TOK37" s="47"/>
      <c r="TOL37" s="47"/>
      <c r="TOM37" s="47"/>
      <c r="TON37" s="47"/>
      <c r="TOO37" s="47"/>
      <c r="TOP37" s="47"/>
      <c r="TOQ37" s="47"/>
      <c r="TOR37" s="47"/>
      <c r="TOS37" s="47"/>
      <c r="TOT37" s="47"/>
      <c r="TOU37" s="47"/>
      <c r="TOV37" s="47"/>
      <c r="TOW37" s="47"/>
      <c r="TOX37" s="47"/>
      <c r="TOY37" s="47"/>
      <c r="TOZ37" s="47"/>
      <c r="TPA37" s="47"/>
      <c r="TPB37" s="47"/>
      <c r="TPC37" s="47"/>
      <c r="TPD37" s="47"/>
      <c r="TPE37" s="47"/>
      <c r="TPF37" s="47"/>
      <c r="TPG37" s="47"/>
      <c r="TPH37" s="47"/>
      <c r="TPI37" s="47"/>
      <c r="TPJ37" s="47"/>
      <c r="TPK37" s="47"/>
      <c r="TPL37" s="47"/>
      <c r="TPM37" s="47"/>
      <c r="TPN37" s="47"/>
      <c r="TPO37" s="47"/>
      <c r="TPP37" s="47"/>
      <c r="TPQ37" s="47"/>
      <c r="TPR37" s="47"/>
      <c r="TPS37" s="47"/>
      <c r="TPT37" s="47"/>
      <c r="TPU37" s="47"/>
      <c r="TPV37" s="47"/>
      <c r="TPW37" s="47"/>
      <c r="TPX37" s="47"/>
      <c r="TPY37" s="47"/>
      <c r="TPZ37" s="47"/>
      <c r="TQA37" s="47"/>
      <c r="TQB37" s="47"/>
      <c r="TQC37" s="47"/>
      <c r="TQD37" s="47"/>
      <c r="TQE37" s="47"/>
      <c r="TQF37" s="47"/>
      <c r="TQG37" s="47"/>
      <c r="TQH37" s="47"/>
      <c r="TQI37" s="47"/>
      <c r="TQJ37" s="47"/>
      <c r="TQK37" s="47"/>
      <c r="TQL37" s="47"/>
      <c r="TQM37" s="47"/>
      <c r="TQN37" s="47"/>
      <c r="TQO37" s="47"/>
      <c r="TQP37" s="47"/>
      <c r="TQQ37" s="47"/>
      <c r="TQR37" s="47"/>
      <c r="TQS37" s="47"/>
      <c r="TQT37" s="47"/>
      <c r="TQU37" s="47"/>
      <c r="TQV37" s="47"/>
      <c r="TQW37" s="47"/>
      <c r="TQX37" s="47"/>
      <c r="TQY37" s="47"/>
      <c r="TQZ37" s="47"/>
      <c r="TRA37" s="47"/>
      <c r="TRB37" s="47"/>
      <c r="TRC37" s="47"/>
      <c r="TRD37" s="47"/>
      <c r="TRE37" s="47"/>
      <c r="TRF37" s="47"/>
      <c r="TRG37" s="47"/>
      <c r="TRH37" s="47"/>
      <c r="TRI37" s="47"/>
      <c r="TRJ37" s="47"/>
      <c r="TRK37" s="47"/>
      <c r="TRL37" s="47"/>
      <c r="TRM37" s="47"/>
      <c r="TRN37" s="47"/>
      <c r="TRO37" s="47"/>
      <c r="TRP37" s="47"/>
      <c r="TRQ37" s="47"/>
      <c r="TRR37" s="47"/>
      <c r="TRS37" s="47"/>
      <c r="TRT37" s="47"/>
      <c r="TRU37" s="47"/>
      <c r="TRV37" s="47"/>
      <c r="TRW37" s="47"/>
      <c r="TRX37" s="47"/>
      <c r="TRY37" s="47"/>
      <c r="TRZ37" s="47"/>
      <c r="TSA37" s="47"/>
      <c r="TSB37" s="47"/>
      <c r="TSC37" s="47"/>
      <c r="TSD37" s="47"/>
      <c r="TSE37" s="47"/>
      <c r="TSF37" s="47"/>
      <c r="TSG37" s="47"/>
      <c r="TSH37" s="47"/>
      <c r="TSI37" s="47"/>
      <c r="TSJ37" s="47"/>
      <c r="TSK37" s="47"/>
      <c r="TSL37" s="47"/>
      <c r="TSM37" s="47"/>
      <c r="TSN37" s="47"/>
      <c r="TSO37" s="47"/>
      <c r="TSP37" s="47"/>
      <c r="TSQ37" s="47"/>
      <c r="TSR37" s="47"/>
      <c r="TSS37" s="47"/>
      <c r="TST37" s="47"/>
      <c r="TSU37" s="47"/>
      <c r="TSV37" s="47"/>
      <c r="TSW37" s="47"/>
      <c r="TSX37" s="47"/>
      <c r="TSY37" s="47"/>
      <c r="TSZ37" s="47"/>
      <c r="TTA37" s="47"/>
      <c r="TTB37" s="47"/>
      <c r="TTC37" s="47"/>
      <c r="TTD37" s="47"/>
      <c r="TTE37" s="47"/>
      <c r="TTF37" s="47"/>
      <c r="TTG37" s="47"/>
      <c r="TTH37" s="47"/>
      <c r="TTI37" s="47"/>
      <c r="TTJ37" s="47"/>
      <c r="TTK37" s="47"/>
      <c r="TTL37" s="47"/>
      <c r="TTM37" s="47"/>
      <c r="TTN37" s="47"/>
      <c r="TTO37" s="47"/>
      <c r="TTP37" s="47"/>
      <c r="TTQ37" s="47"/>
      <c r="TTR37" s="47"/>
      <c r="TTS37" s="47"/>
      <c r="TTT37" s="47"/>
      <c r="TTU37" s="47"/>
      <c r="TTV37" s="47"/>
      <c r="TTW37" s="47"/>
      <c r="TTX37" s="47"/>
      <c r="TTY37" s="47"/>
      <c r="TTZ37" s="47"/>
      <c r="TUA37" s="47"/>
      <c r="TUB37" s="47"/>
      <c r="TUC37" s="47"/>
      <c r="TUD37" s="47"/>
      <c r="TUE37" s="47"/>
      <c r="TUF37" s="47"/>
      <c r="TUG37" s="47"/>
      <c r="TUH37" s="47"/>
      <c r="TUI37" s="47"/>
      <c r="TUJ37" s="47"/>
      <c r="TUK37" s="47"/>
      <c r="TUL37" s="47"/>
      <c r="TUM37" s="47"/>
      <c r="TUN37" s="47"/>
      <c r="TUO37" s="47"/>
      <c r="TUP37" s="47"/>
      <c r="TUQ37" s="47"/>
      <c r="TUR37" s="47"/>
      <c r="TUS37" s="47"/>
      <c r="TUT37" s="47"/>
      <c r="TUU37" s="47"/>
      <c r="TUV37" s="47"/>
      <c r="TUW37" s="47"/>
      <c r="TUX37" s="47"/>
      <c r="TUY37" s="47"/>
      <c r="TUZ37" s="47"/>
      <c r="TVA37" s="47"/>
      <c r="TVB37" s="47"/>
      <c r="TVC37" s="47"/>
      <c r="TVD37" s="47"/>
      <c r="TVE37" s="47"/>
      <c r="TVF37" s="47"/>
      <c r="TVG37" s="47"/>
      <c r="TVH37" s="47"/>
      <c r="TVI37" s="47"/>
      <c r="TVJ37" s="47"/>
      <c r="TVK37" s="47"/>
      <c r="TVL37" s="47"/>
      <c r="TVM37" s="47"/>
      <c r="TVN37" s="47"/>
      <c r="TVO37" s="47"/>
      <c r="TVP37" s="47"/>
      <c r="TVQ37" s="47"/>
      <c r="TVR37" s="47"/>
      <c r="TVS37" s="47"/>
      <c r="TVT37" s="47"/>
      <c r="TVU37" s="47"/>
      <c r="TVV37" s="47"/>
      <c r="TVW37" s="47"/>
      <c r="TVX37" s="47"/>
      <c r="TVY37" s="47"/>
      <c r="TVZ37" s="47"/>
      <c r="TWA37" s="47"/>
      <c r="TWB37" s="47"/>
      <c r="TWC37" s="47"/>
      <c r="TWD37" s="47"/>
      <c r="TWE37" s="47"/>
      <c r="TWF37" s="47"/>
      <c r="TWG37" s="47"/>
      <c r="TWH37" s="47"/>
      <c r="TWI37" s="47"/>
      <c r="TWJ37" s="47"/>
      <c r="TWK37" s="47"/>
      <c r="TWL37" s="47"/>
      <c r="TWM37" s="47"/>
      <c r="TWN37" s="47"/>
      <c r="TWO37" s="47"/>
      <c r="TWP37" s="47"/>
      <c r="TWQ37" s="47"/>
      <c r="TWR37" s="47"/>
      <c r="TWS37" s="47"/>
      <c r="TWT37" s="47"/>
      <c r="TWU37" s="47"/>
      <c r="TWV37" s="47"/>
      <c r="TWW37" s="47"/>
      <c r="TWX37" s="47"/>
      <c r="TWY37" s="47"/>
      <c r="TWZ37" s="47"/>
      <c r="TXA37" s="47"/>
      <c r="TXB37" s="47"/>
      <c r="TXC37" s="47"/>
      <c r="TXD37" s="47"/>
      <c r="TXE37" s="47"/>
      <c r="TXF37" s="47"/>
      <c r="TXG37" s="47"/>
      <c r="TXH37" s="47"/>
      <c r="TXI37" s="47"/>
      <c r="TXJ37" s="47"/>
      <c r="TXK37" s="47"/>
      <c r="TXL37" s="47"/>
      <c r="TXM37" s="47"/>
      <c r="TXN37" s="47"/>
      <c r="TXO37" s="47"/>
      <c r="TXP37" s="47"/>
      <c r="TXQ37" s="47"/>
      <c r="TXR37" s="47"/>
      <c r="TXS37" s="47"/>
      <c r="TXT37" s="47"/>
      <c r="TXU37" s="47"/>
      <c r="TXV37" s="47"/>
      <c r="TXW37" s="47"/>
      <c r="TXX37" s="47"/>
      <c r="TXY37" s="47"/>
      <c r="TXZ37" s="47"/>
      <c r="TYA37" s="47"/>
      <c r="TYB37" s="47"/>
      <c r="TYC37" s="47"/>
      <c r="TYD37" s="47"/>
      <c r="TYE37" s="47"/>
      <c r="TYF37" s="47"/>
      <c r="TYG37" s="47"/>
      <c r="TYH37" s="47"/>
      <c r="TYI37" s="47"/>
      <c r="TYJ37" s="47"/>
      <c r="TYK37" s="47"/>
      <c r="TYL37" s="47"/>
      <c r="TYM37" s="47"/>
      <c r="TYN37" s="47"/>
      <c r="TYO37" s="47"/>
      <c r="TYP37" s="47"/>
      <c r="TYQ37" s="47"/>
      <c r="TYR37" s="47"/>
      <c r="TYS37" s="47"/>
      <c r="TYT37" s="47"/>
      <c r="TYU37" s="47"/>
      <c r="TYV37" s="47"/>
      <c r="TYW37" s="47"/>
      <c r="TYX37" s="47"/>
      <c r="TYY37" s="47"/>
      <c r="TYZ37" s="47"/>
      <c r="TZA37" s="47"/>
      <c r="TZB37" s="47"/>
      <c r="TZC37" s="47"/>
      <c r="TZD37" s="47"/>
      <c r="TZE37" s="47"/>
      <c r="TZF37" s="47"/>
      <c r="TZG37" s="47"/>
      <c r="TZH37" s="47"/>
      <c r="TZI37" s="47"/>
      <c r="TZJ37" s="47"/>
      <c r="TZK37" s="47"/>
      <c r="TZL37" s="47"/>
      <c r="TZM37" s="47"/>
      <c r="TZN37" s="47"/>
      <c r="TZO37" s="47"/>
      <c r="TZP37" s="47"/>
      <c r="TZQ37" s="47"/>
      <c r="TZR37" s="47"/>
      <c r="TZS37" s="47"/>
      <c r="TZT37" s="47"/>
      <c r="TZU37" s="47"/>
      <c r="TZV37" s="47"/>
      <c r="TZW37" s="47"/>
      <c r="TZX37" s="47"/>
      <c r="TZY37" s="47"/>
      <c r="TZZ37" s="47"/>
      <c r="UAA37" s="47"/>
      <c r="UAB37" s="47"/>
      <c r="UAC37" s="47"/>
      <c r="UAD37" s="47"/>
      <c r="UAE37" s="47"/>
      <c r="UAF37" s="47"/>
      <c r="UAG37" s="47"/>
      <c r="UAH37" s="47"/>
      <c r="UAI37" s="47"/>
      <c r="UAJ37" s="47"/>
      <c r="UAK37" s="47"/>
      <c r="UAL37" s="47"/>
      <c r="UAM37" s="47"/>
      <c r="UAN37" s="47"/>
      <c r="UAO37" s="47"/>
      <c r="UAP37" s="47"/>
      <c r="UAQ37" s="47"/>
      <c r="UAR37" s="47"/>
      <c r="UAS37" s="47"/>
      <c r="UAT37" s="47"/>
      <c r="UAU37" s="47"/>
      <c r="UAV37" s="47"/>
      <c r="UAW37" s="47"/>
      <c r="UAX37" s="47"/>
      <c r="UAY37" s="47"/>
      <c r="UAZ37" s="47"/>
      <c r="UBA37" s="47"/>
      <c r="UBB37" s="47"/>
      <c r="UBC37" s="47"/>
      <c r="UBD37" s="47"/>
      <c r="UBE37" s="47"/>
      <c r="UBF37" s="47"/>
      <c r="UBG37" s="47"/>
      <c r="UBH37" s="47"/>
      <c r="UBI37" s="47"/>
      <c r="UBJ37" s="47"/>
      <c r="UBK37" s="47"/>
      <c r="UBL37" s="47"/>
      <c r="UBM37" s="47"/>
      <c r="UBN37" s="47"/>
      <c r="UBO37" s="47"/>
      <c r="UBP37" s="47"/>
      <c r="UBQ37" s="47"/>
      <c r="UBR37" s="47"/>
      <c r="UBS37" s="47"/>
      <c r="UBT37" s="47"/>
      <c r="UBU37" s="47"/>
      <c r="UBV37" s="47"/>
      <c r="UBW37" s="47"/>
      <c r="UBX37" s="47"/>
      <c r="UBY37" s="47"/>
      <c r="UBZ37" s="47"/>
      <c r="UCA37" s="47"/>
      <c r="UCB37" s="47"/>
      <c r="UCC37" s="47"/>
      <c r="UCD37" s="47"/>
      <c r="UCE37" s="47"/>
      <c r="UCF37" s="47"/>
      <c r="UCG37" s="47"/>
      <c r="UCH37" s="47"/>
      <c r="UCI37" s="47"/>
      <c r="UCJ37" s="47"/>
      <c r="UCK37" s="47"/>
      <c r="UCL37" s="47"/>
      <c r="UCM37" s="47"/>
      <c r="UCN37" s="47"/>
      <c r="UCO37" s="47"/>
      <c r="UCP37" s="47"/>
      <c r="UCQ37" s="47"/>
      <c r="UCR37" s="47"/>
      <c r="UCS37" s="47"/>
      <c r="UCT37" s="47"/>
      <c r="UCU37" s="47"/>
      <c r="UCV37" s="47"/>
      <c r="UCW37" s="47"/>
      <c r="UCX37" s="47"/>
      <c r="UCY37" s="47"/>
      <c r="UCZ37" s="47"/>
      <c r="UDA37" s="47"/>
      <c r="UDB37" s="47"/>
      <c r="UDC37" s="47"/>
      <c r="UDD37" s="47"/>
      <c r="UDE37" s="47"/>
      <c r="UDF37" s="47"/>
      <c r="UDG37" s="47"/>
      <c r="UDH37" s="47"/>
      <c r="UDI37" s="47"/>
      <c r="UDJ37" s="47"/>
      <c r="UDK37" s="47"/>
      <c r="UDL37" s="47"/>
      <c r="UDM37" s="47"/>
      <c r="UDN37" s="47"/>
      <c r="UDO37" s="47"/>
      <c r="UDP37" s="47"/>
      <c r="UDQ37" s="47"/>
      <c r="UDR37" s="47"/>
      <c r="UDS37" s="47"/>
      <c r="UDT37" s="47"/>
      <c r="UDU37" s="47"/>
      <c r="UDV37" s="47"/>
      <c r="UDW37" s="47"/>
      <c r="UDX37" s="47"/>
      <c r="UDY37" s="47"/>
      <c r="UDZ37" s="47"/>
      <c r="UEA37" s="47"/>
      <c r="UEB37" s="47"/>
      <c r="UEC37" s="47"/>
      <c r="UED37" s="47"/>
      <c r="UEE37" s="47"/>
      <c r="UEF37" s="47"/>
      <c r="UEG37" s="47"/>
      <c r="UEH37" s="47"/>
      <c r="UEI37" s="47"/>
      <c r="UEJ37" s="47"/>
      <c r="UEK37" s="47"/>
      <c r="UEL37" s="47"/>
      <c r="UEM37" s="47"/>
      <c r="UEN37" s="47"/>
      <c r="UEO37" s="47"/>
      <c r="UEP37" s="47"/>
      <c r="UEQ37" s="47"/>
      <c r="UER37" s="47"/>
      <c r="UES37" s="47"/>
      <c r="UET37" s="47"/>
      <c r="UEU37" s="47"/>
      <c r="UEV37" s="47"/>
      <c r="UEW37" s="47"/>
      <c r="UEX37" s="47"/>
      <c r="UEY37" s="47"/>
      <c r="UEZ37" s="47"/>
      <c r="UFA37" s="47"/>
      <c r="UFB37" s="47"/>
      <c r="UFC37" s="47"/>
      <c r="UFD37" s="47"/>
      <c r="UFE37" s="47"/>
      <c r="UFF37" s="47"/>
      <c r="UFG37" s="47"/>
      <c r="UFH37" s="47"/>
      <c r="UFI37" s="47"/>
      <c r="UFJ37" s="47"/>
      <c r="UFK37" s="47"/>
      <c r="UFL37" s="47"/>
      <c r="UFM37" s="47"/>
      <c r="UFN37" s="47"/>
      <c r="UFO37" s="47"/>
      <c r="UFP37" s="47"/>
      <c r="UFQ37" s="47"/>
      <c r="UFR37" s="47"/>
      <c r="UFS37" s="47"/>
      <c r="UFT37" s="47"/>
      <c r="UFU37" s="47"/>
      <c r="UFV37" s="47"/>
      <c r="UFW37" s="47"/>
      <c r="UFX37" s="47"/>
      <c r="UFY37" s="47"/>
      <c r="UFZ37" s="47"/>
      <c r="UGA37" s="47"/>
      <c r="UGB37" s="47"/>
      <c r="UGC37" s="47"/>
      <c r="UGD37" s="47"/>
      <c r="UGE37" s="47"/>
      <c r="UGF37" s="47"/>
      <c r="UGG37" s="47"/>
      <c r="UGH37" s="47"/>
      <c r="UGI37" s="47"/>
      <c r="UGJ37" s="47"/>
      <c r="UGK37" s="47"/>
      <c r="UGL37" s="47"/>
      <c r="UGM37" s="47"/>
      <c r="UGN37" s="47"/>
      <c r="UGO37" s="47"/>
      <c r="UGP37" s="47"/>
      <c r="UGQ37" s="47"/>
      <c r="UGR37" s="47"/>
      <c r="UGS37" s="47"/>
      <c r="UGT37" s="47"/>
      <c r="UGU37" s="47"/>
      <c r="UGV37" s="47"/>
      <c r="UGW37" s="47"/>
      <c r="UGX37" s="47"/>
      <c r="UGY37" s="47"/>
      <c r="UGZ37" s="47"/>
      <c r="UHA37" s="47"/>
      <c r="UHB37" s="47"/>
      <c r="UHC37" s="47"/>
      <c r="UHD37" s="47"/>
      <c r="UHE37" s="47"/>
      <c r="UHF37" s="47"/>
      <c r="UHG37" s="47"/>
      <c r="UHH37" s="47"/>
      <c r="UHI37" s="47"/>
      <c r="UHJ37" s="47"/>
      <c r="UHK37" s="47"/>
      <c r="UHL37" s="47"/>
      <c r="UHM37" s="47"/>
      <c r="UHN37" s="47"/>
      <c r="UHO37" s="47"/>
      <c r="UHP37" s="47"/>
      <c r="UHQ37" s="47"/>
      <c r="UHR37" s="47"/>
      <c r="UHS37" s="47"/>
      <c r="UHT37" s="47"/>
      <c r="UHU37" s="47"/>
      <c r="UHV37" s="47"/>
      <c r="UHW37" s="47"/>
      <c r="UHX37" s="47"/>
      <c r="UHY37" s="47"/>
      <c r="UHZ37" s="47"/>
      <c r="UIA37" s="47"/>
      <c r="UIB37" s="47"/>
      <c r="UIC37" s="47"/>
      <c r="UID37" s="47"/>
      <c r="UIE37" s="47"/>
      <c r="UIF37" s="47"/>
      <c r="UIG37" s="47"/>
      <c r="UIH37" s="47"/>
      <c r="UII37" s="47"/>
      <c r="UIJ37" s="47"/>
      <c r="UIK37" s="47"/>
      <c r="UIL37" s="47"/>
      <c r="UIM37" s="47"/>
      <c r="UIN37" s="47"/>
      <c r="UIO37" s="47"/>
      <c r="UIP37" s="47"/>
      <c r="UIQ37" s="47"/>
      <c r="UIR37" s="47"/>
      <c r="UIS37" s="47"/>
      <c r="UIT37" s="47"/>
      <c r="UIU37" s="47"/>
      <c r="UIV37" s="47"/>
      <c r="UIW37" s="47"/>
      <c r="UIX37" s="47"/>
      <c r="UIY37" s="47"/>
      <c r="UIZ37" s="47"/>
      <c r="UJA37" s="47"/>
      <c r="UJB37" s="47"/>
      <c r="UJC37" s="47"/>
      <c r="UJD37" s="47"/>
      <c r="UJE37" s="47"/>
      <c r="UJF37" s="47"/>
      <c r="UJG37" s="47"/>
      <c r="UJH37" s="47"/>
      <c r="UJI37" s="47"/>
      <c r="UJJ37" s="47"/>
      <c r="UJK37" s="47"/>
      <c r="UJL37" s="47"/>
      <c r="UJM37" s="47"/>
      <c r="UJN37" s="47"/>
      <c r="UJO37" s="47"/>
      <c r="UJP37" s="47"/>
      <c r="UJQ37" s="47"/>
      <c r="UJR37" s="47"/>
      <c r="UJS37" s="47"/>
      <c r="UJT37" s="47"/>
      <c r="UJU37" s="47"/>
      <c r="UJV37" s="47"/>
      <c r="UJW37" s="47"/>
      <c r="UJX37" s="47"/>
      <c r="UJY37" s="47"/>
      <c r="UJZ37" s="47"/>
      <c r="UKA37" s="47"/>
      <c r="UKB37" s="47"/>
      <c r="UKC37" s="47"/>
      <c r="UKD37" s="47"/>
      <c r="UKE37" s="47"/>
      <c r="UKF37" s="47"/>
      <c r="UKG37" s="47"/>
      <c r="UKH37" s="47"/>
      <c r="UKI37" s="47"/>
      <c r="UKJ37" s="47"/>
      <c r="UKK37" s="47"/>
      <c r="UKL37" s="47"/>
      <c r="UKM37" s="47"/>
      <c r="UKN37" s="47"/>
      <c r="UKO37" s="47"/>
      <c r="UKP37" s="47"/>
      <c r="UKQ37" s="47"/>
      <c r="UKR37" s="47"/>
      <c r="UKS37" s="47"/>
      <c r="UKT37" s="47"/>
      <c r="UKU37" s="47"/>
      <c r="UKV37" s="47"/>
      <c r="UKW37" s="47"/>
      <c r="UKX37" s="47"/>
      <c r="UKY37" s="47"/>
      <c r="UKZ37" s="47"/>
      <c r="ULA37" s="47"/>
      <c r="ULB37" s="47"/>
      <c r="ULC37" s="47"/>
      <c r="ULD37" s="47"/>
      <c r="ULE37" s="47"/>
      <c r="ULF37" s="47"/>
      <c r="ULG37" s="47"/>
      <c r="ULH37" s="47"/>
      <c r="ULI37" s="47"/>
      <c r="ULJ37" s="47"/>
      <c r="ULK37" s="47"/>
      <c r="ULL37" s="47"/>
      <c r="ULM37" s="47"/>
      <c r="ULN37" s="47"/>
      <c r="ULO37" s="47"/>
      <c r="ULP37" s="47"/>
      <c r="ULQ37" s="47"/>
      <c r="ULR37" s="47"/>
      <c r="ULS37" s="47"/>
      <c r="ULT37" s="47"/>
      <c r="ULU37" s="47"/>
      <c r="ULV37" s="47"/>
      <c r="ULW37" s="47"/>
      <c r="ULX37" s="47"/>
      <c r="ULY37" s="47"/>
      <c r="ULZ37" s="47"/>
      <c r="UMA37" s="47"/>
      <c r="UMB37" s="47"/>
      <c r="UMC37" s="47"/>
      <c r="UMD37" s="47"/>
      <c r="UME37" s="47"/>
      <c r="UMF37" s="47"/>
      <c r="UMG37" s="47"/>
      <c r="UMH37" s="47"/>
      <c r="UMI37" s="47"/>
      <c r="UMJ37" s="47"/>
      <c r="UMK37" s="47"/>
      <c r="UML37" s="47"/>
      <c r="UMM37" s="47"/>
      <c r="UMN37" s="47"/>
      <c r="UMO37" s="47"/>
      <c r="UMP37" s="47"/>
      <c r="UMQ37" s="47"/>
      <c r="UMR37" s="47"/>
      <c r="UMS37" s="47"/>
      <c r="UMT37" s="47"/>
      <c r="UMU37" s="47"/>
      <c r="UMV37" s="47"/>
      <c r="UMW37" s="47"/>
      <c r="UMX37" s="47"/>
      <c r="UMY37" s="47"/>
      <c r="UMZ37" s="47"/>
      <c r="UNA37" s="47"/>
      <c r="UNB37" s="47"/>
      <c r="UNC37" s="47"/>
      <c r="UND37" s="47"/>
      <c r="UNE37" s="47"/>
      <c r="UNF37" s="47"/>
      <c r="UNG37" s="47"/>
      <c r="UNH37" s="47"/>
      <c r="UNI37" s="47"/>
      <c r="UNJ37" s="47"/>
      <c r="UNK37" s="47"/>
      <c r="UNL37" s="47"/>
      <c r="UNM37" s="47"/>
      <c r="UNN37" s="47"/>
      <c r="UNO37" s="47"/>
      <c r="UNP37" s="47"/>
      <c r="UNQ37" s="47"/>
      <c r="UNR37" s="47"/>
      <c r="UNS37" s="47"/>
      <c r="UNT37" s="47"/>
      <c r="UNU37" s="47"/>
      <c r="UNV37" s="47"/>
      <c r="UNW37" s="47"/>
      <c r="UNX37" s="47"/>
      <c r="UNY37" s="47"/>
      <c r="UNZ37" s="47"/>
      <c r="UOA37" s="47"/>
      <c r="UOB37" s="47"/>
      <c r="UOC37" s="47"/>
      <c r="UOD37" s="47"/>
      <c r="UOE37" s="47"/>
      <c r="UOF37" s="47"/>
      <c r="UOG37" s="47"/>
      <c r="UOH37" s="47"/>
      <c r="UOI37" s="47"/>
      <c r="UOJ37" s="47"/>
      <c r="UOK37" s="47"/>
      <c r="UOL37" s="47"/>
      <c r="UOM37" s="47"/>
      <c r="UON37" s="47"/>
      <c r="UOO37" s="47"/>
      <c r="UOP37" s="47"/>
      <c r="UOQ37" s="47"/>
      <c r="UOR37" s="47"/>
      <c r="UOS37" s="47"/>
      <c r="UOT37" s="47"/>
      <c r="UOU37" s="47"/>
      <c r="UOV37" s="47"/>
      <c r="UOW37" s="47"/>
      <c r="UOX37" s="47"/>
      <c r="UOY37" s="47"/>
      <c r="UOZ37" s="47"/>
      <c r="UPA37" s="47"/>
      <c r="UPB37" s="47"/>
      <c r="UPC37" s="47"/>
      <c r="UPD37" s="47"/>
      <c r="UPE37" s="47"/>
      <c r="UPF37" s="47"/>
      <c r="UPG37" s="47"/>
      <c r="UPH37" s="47"/>
      <c r="UPI37" s="47"/>
      <c r="UPJ37" s="47"/>
      <c r="UPK37" s="47"/>
      <c r="UPL37" s="47"/>
      <c r="UPM37" s="47"/>
      <c r="UPN37" s="47"/>
      <c r="UPO37" s="47"/>
      <c r="UPP37" s="47"/>
      <c r="UPQ37" s="47"/>
      <c r="UPR37" s="47"/>
      <c r="UPS37" s="47"/>
      <c r="UPT37" s="47"/>
      <c r="UPU37" s="47"/>
      <c r="UPV37" s="47"/>
      <c r="UPW37" s="47"/>
      <c r="UPX37" s="47"/>
      <c r="UPY37" s="47"/>
      <c r="UPZ37" s="47"/>
      <c r="UQA37" s="47"/>
      <c r="UQB37" s="47"/>
      <c r="UQC37" s="47"/>
      <c r="UQD37" s="47"/>
      <c r="UQE37" s="47"/>
      <c r="UQF37" s="47"/>
      <c r="UQG37" s="47"/>
      <c r="UQH37" s="47"/>
      <c r="UQI37" s="47"/>
      <c r="UQJ37" s="47"/>
      <c r="UQK37" s="47"/>
      <c r="UQL37" s="47"/>
      <c r="UQM37" s="47"/>
      <c r="UQN37" s="47"/>
      <c r="UQO37" s="47"/>
      <c r="UQP37" s="47"/>
      <c r="UQQ37" s="47"/>
      <c r="UQR37" s="47"/>
      <c r="UQS37" s="47"/>
      <c r="UQT37" s="47"/>
      <c r="UQU37" s="47"/>
      <c r="UQV37" s="47"/>
      <c r="UQW37" s="47"/>
      <c r="UQX37" s="47"/>
      <c r="UQY37" s="47"/>
      <c r="UQZ37" s="47"/>
      <c r="URA37" s="47"/>
      <c r="URB37" s="47"/>
      <c r="URC37" s="47"/>
      <c r="URD37" s="47"/>
      <c r="URE37" s="47"/>
      <c r="URF37" s="47"/>
      <c r="URG37" s="47"/>
      <c r="URH37" s="47"/>
      <c r="URI37" s="47"/>
      <c r="URJ37" s="47"/>
      <c r="URK37" s="47"/>
      <c r="URL37" s="47"/>
      <c r="URM37" s="47"/>
      <c r="URN37" s="47"/>
      <c r="URO37" s="47"/>
      <c r="URP37" s="47"/>
      <c r="URQ37" s="47"/>
      <c r="URR37" s="47"/>
      <c r="URS37" s="47"/>
      <c r="URT37" s="47"/>
      <c r="URU37" s="47"/>
      <c r="URV37" s="47"/>
      <c r="URW37" s="47"/>
      <c r="URX37" s="47"/>
      <c r="URY37" s="47"/>
      <c r="URZ37" s="47"/>
      <c r="USA37" s="47"/>
      <c r="USB37" s="47"/>
      <c r="USC37" s="47"/>
      <c r="USD37" s="47"/>
      <c r="USE37" s="47"/>
      <c r="USF37" s="47"/>
      <c r="USG37" s="47"/>
      <c r="USH37" s="47"/>
      <c r="USI37" s="47"/>
      <c r="USJ37" s="47"/>
      <c r="USK37" s="47"/>
      <c r="USL37" s="47"/>
      <c r="USM37" s="47"/>
      <c r="USN37" s="47"/>
      <c r="USO37" s="47"/>
      <c r="USP37" s="47"/>
      <c r="USQ37" s="47"/>
      <c r="USR37" s="47"/>
      <c r="USS37" s="47"/>
      <c r="UST37" s="47"/>
      <c r="USU37" s="47"/>
      <c r="USV37" s="47"/>
      <c r="USW37" s="47"/>
      <c r="USX37" s="47"/>
      <c r="USY37" s="47"/>
      <c r="USZ37" s="47"/>
      <c r="UTA37" s="47"/>
      <c r="UTB37" s="47"/>
      <c r="UTC37" s="47"/>
      <c r="UTD37" s="47"/>
      <c r="UTE37" s="47"/>
      <c r="UTF37" s="47"/>
      <c r="UTG37" s="47"/>
      <c r="UTH37" s="47"/>
      <c r="UTI37" s="47"/>
      <c r="UTJ37" s="47"/>
      <c r="UTK37" s="47"/>
      <c r="UTL37" s="47"/>
      <c r="UTM37" s="47"/>
      <c r="UTN37" s="47"/>
      <c r="UTO37" s="47"/>
      <c r="UTP37" s="47"/>
      <c r="UTQ37" s="47"/>
      <c r="UTR37" s="47"/>
      <c r="UTS37" s="47"/>
      <c r="UTT37" s="47"/>
      <c r="UTU37" s="47"/>
      <c r="UTV37" s="47"/>
      <c r="UTW37" s="47"/>
      <c r="UTX37" s="47"/>
      <c r="UTY37" s="47"/>
      <c r="UTZ37" s="47"/>
      <c r="UUA37" s="47"/>
      <c r="UUB37" s="47"/>
      <c r="UUC37" s="47"/>
      <c r="UUD37" s="47"/>
      <c r="UUE37" s="47"/>
      <c r="UUF37" s="47"/>
      <c r="UUG37" s="47"/>
      <c r="UUH37" s="47"/>
      <c r="UUI37" s="47"/>
      <c r="UUJ37" s="47"/>
      <c r="UUK37" s="47"/>
      <c r="UUL37" s="47"/>
      <c r="UUM37" s="47"/>
      <c r="UUN37" s="47"/>
      <c r="UUO37" s="47"/>
      <c r="UUP37" s="47"/>
      <c r="UUQ37" s="47"/>
      <c r="UUR37" s="47"/>
      <c r="UUS37" s="47"/>
      <c r="UUT37" s="47"/>
      <c r="UUU37" s="47"/>
      <c r="UUV37" s="47"/>
      <c r="UUW37" s="47"/>
      <c r="UUX37" s="47"/>
      <c r="UUY37" s="47"/>
      <c r="UUZ37" s="47"/>
      <c r="UVA37" s="47"/>
      <c r="UVB37" s="47"/>
      <c r="UVC37" s="47"/>
      <c r="UVD37" s="47"/>
      <c r="UVE37" s="47"/>
      <c r="UVF37" s="47"/>
      <c r="UVG37" s="47"/>
      <c r="UVH37" s="47"/>
      <c r="UVI37" s="47"/>
      <c r="UVJ37" s="47"/>
      <c r="UVK37" s="47"/>
      <c r="UVL37" s="47"/>
      <c r="UVM37" s="47"/>
      <c r="UVN37" s="47"/>
      <c r="UVO37" s="47"/>
      <c r="UVP37" s="47"/>
      <c r="UVQ37" s="47"/>
      <c r="UVR37" s="47"/>
      <c r="UVS37" s="47"/>
      <c r="UVT37" s="47"/>
      <c r="UVU37" s="47"/>
      <c r="UVV37" s="47"/>
      <c r="UVW37" s="47"/>
      <c r="UVX37" s="47"/>
      <c r="UVY37" s="47"/>
      <c r="UVZ37" s="47"/>
      <c r="UWA37" s="47"/>
      <c r="UWB37" s="47"/>
      <c r="UWC37" s="47"/>
      <c r="UWD37" s="47"/>
      <c r="UWE37" s="47"/>
      <c r="UWF37" s="47"/>
      <c r="UWG37" s="47"/>
      <c r="UWH37" s="47"/>
      <c r="UWI37" s="47"/>
      <c r="UWJ37" s="47"/>
      <c r="UWK37" s="47"/>
      <c r="UWL37" s="47"/>
      <c r="UWM37" s="47"/>
      <c r="UWN37" s="47"/>
      <c r="UWO37" s="47"/>
      <c r="UWP37" s="47"/>
      <c r="UWQ37" s="47"/>
      <c r="UWR37" s="47"/>
      <c r="UWS37" s="47"/>
      <c r="UWT37" s="47"/>
      <c r="UWU37" s="47"/>
      <c r="UWV37" s="47"/>
      <c r="UWW37" s="47"/>
      <c r="UWX37" s="47"/>
      <c r="UWY37" s="47"/>
      <c r="UWZ37" s="47"/>
      <c r="UXA37" s="47"/>
      <c r="UXB37" s="47"/>
      <c r="UXC37" s="47"/>
      <c r="UXD37" s="47"/>
      <c r="UXE37" s="47"/>
      <c r="UXF37" s="47"/>
      <c r="UXG37" s="47"/>
      <c r="UXH37" s="47"/>
      <c r="UXI37" s="47"/>
      <c r="UXJ37" s="47"/>
      <c r="UXK37" s="47"/>
      <c r="UXL37" s="47"/>
      <c r="UXM37" s="47"/>
      <c r="UXN37" s="47"/>
      <c r="UXO37" s="47"/>
      <c r="UXP37" s="47"/>
      <c r="UXQ37" s="47"/>
      <c r="UXR37" s="47"/>
      <c r="UXS37" s="47"/>
      <c r="UXT37" s="47"/>
      <c r="UXU37" s="47"/>
      <c r="UXV37" s="47"/>
      <c r="UXW37" s="47"/>
      <c r="UXX37" s="47"/>
      <c r="UXY37" s="47"/>
      <c r="UXZ37" s="47"/>
      <c r="UYA37" s="47"/>
      <c r="UYB37" s="47"/>
      <c r="UYC37" s="47"/>
      <c r="UYD37" s="47"/>
      <c r="UYE37" s="47"/>
      <c r="UYF37" s="47"/>
      <c r="UYG37" s="47"/>
      <c r="UYH37" s="47"/>
      <c r="UYI37" s="47"/>
      <c r="UYJ37" s="47"/>
      <c r="UYK37" s="47"/>
      <c r="UYL37" s="47"/>
      <c r="UYM37" s="47"/>
      <c r="UYN37" s="47"/>
      <c r="UYO37" s="47"/>
      <c r="UYP37" s="47"/>
      <c r="UYQ37" s="47"/>
      <c r="UYR37" s="47"/>
      <c r="UYS37" s="47"/>
      <c r="UYT37" s="47"/>
      <c r="UYU37" s="47"/>
      <c r="UYV37" s="47"/>
      <c r="UYW37" s="47"/>
      <c r="UYX37" s="47"/>
      <c r="UYY37" s="47"/>
      <c r="UYZ37" s="47"/>
      <c r="UZA37" s="47"/>
      <c r="UZB37" s="47"/>
      <c r="UZC37" s="47"/>
      <c r="UZD37" s="47"/>
      <c r="UZE37" s="47"/>
      <c r="UZF37" s="47"/>
      <c r="UZG37" s="47"/>
      <c r="UZH37" s="47"/>
      <c r="UZI37" s="47"/>
      <c r="UZJ37" s="47"/>
      <c r="UZK37" s="47"/>
      <c r="UZL37" s="47"/>
      <c r="UZM37" s="47"/>
      <c r="UZN37" s="47"/>
      <c r="UZO37" s="47"/>
      <c r="UZP37" s="47"/>
      <c r="UZQ37" s="47"/>
      <c r="UZR37" s="47"/>
      <c r="UZS37" s="47"/>
      <c r="UZT37" s="47"/>
      <c r="UZU37" s="47"/>
      <c r="UZV37" s="47"/>
      <c r="UZW37" s="47"/>
      <c r="UZX37" s="47"/>
      <c r="UZY37" s="47"/>
      <c r="UZZ37" s="47"/>
      <c r="VAA37" s="47"/>
      <c r="VAB37" s="47"/>
      <c r="VAC37" s="47"/>
      <c r="VAD37" s="47"/>
      <c r="VAE37" s="47"/>
      <c r="VAF37" s="47"/>
      <c r="VAG37" s="47"/>
      <c r="VAH37" s="47"/>
      <c r="VAI37" s="47"/>
      <c r="VAJ37" s="47"/>
      <c r="VAK37" s="47"/>
      <c r="VAL37" s="47"/>
      <c r="VAM37" s="47"/>
      <c r="VAN37" s="47"/>
      <c r="VAO37" s="47"/>
      <c r="VAP37" s="47"/>
      <c r="VAQ37" s="47"/>
      <c r="VAR37" s="47"/>
      <c r="VAS37" s="47"/>
      <c r="VAT37" s="47"/>
      <c r="VAU37" s="47"/>
      <c r="VAV37" s="47"/>
      <c r="VAW37" s="47"/>
      <c r="VAX37" s="47"/>
      <c r="VAY37" s="47"/>
      <c r="VAZ37" s="47"/>
      <c r="VBA37" s="47"/>
      <c r="VBB37" s="47"/>
      <c r="VBC37" s="47"/>
      <c r="VBD37" s="47"/>
      <c r="VBE37" s="47"/>
      <c r="VBF37" s="47"/>
      <c r="VBG37" s="47"/>
      <c r="VBH37" s="47"/>
      <c r="VBI37" s="47"/>
      <c r="VBJ37" s="47"/>
      <c r="VBK37" s="47"/>
      <c r="VBL37" s="47"/>
      <c r="VBM37" s="47"/>
      <c r="VBN37" s="47"/>
      <c r="VBO37" s="47"/>
      <c r="VBP37" s="47"/>
      <c r="VBQ37" s="47"/>
      <c r="VBR37" s="47"/>
      <c r="VBS37" s="47"/>
      <c r="VBT37" s="47"/>
      <c r="VBU37" s="47"/>
      <c r="VBV37" s="47"/>
      <c r="VBW37" s="47"/>
      <c r="VBX37" s="47"/>
      <c r="VBY37" s="47"/>
      <c r="VBZ37" s="47"/>
      <c r="VCA37" s="47"/>
      <c r="VCB37" s="47"/>
      <c r="VCC37" s="47"/>
      <c r="VCD37" s="47"/>
      <c r="VCE37" s="47"/>
      <c r="VCF37" s="47"/>
      <c r="VCG37" s="47"/>
      <c r="VCH37" s="47"/>
      <c r="VCI37" s="47"/>
      <c r="VCJ37" s="47"/>
      <c r="VCK37" s="47"/>
      <c r="VCL37" s="47"/>
      <c r="VCM37" s="47"/>
      <c r="VCN37" s="47"/>
      <c r="VCO37" s="47"/>
      <c r="VCP37" s="47"/>
      <c r="VCQ37" s="47"/>
      <c r="VCR37" s="47"/>
      <c r="VCS37" s="47"/>
      <c r="VCT37" s="47"/>
      <c r="VCU37" s="47"/>
      <c r="VCV37" s="47"/>
      <c r="VCW37" s="47"/>
      <c r="VCX37" s="47"/>
      <c r="VCY37" s="47"/>
      <c r="VCZ37" s="47"/>
      <c r="VDA37" s="47"/>
      <c r="VDB37" s="47"/>
      <c r="VDC37" s="47"/>
      <c r="VDD37" s="47"/>
      <c r="VDE37" s="47"/>
      <c r="VDF37" s="47"/>
      <c r="VDG37" s="47"/>
      <c r="VDH37" s="47"/>
      <c r="VDI37" s="47"/>
      <c r="VDJ37" s="47"/>
      <c r="VDK37" s="47"/>
      <c r="VDL37" s="47"/>
      <c r="VDM37" s="47"/>
      <c r="VDN37" s="47"/>
      <c r="VDO37" s="47"/>
      <c r="VDP37" s="47"/>
      <c r="VDQ37" s="47"/>
      <c r="VDR37" s="47"/>
      <c r="VDS37" s="47"/>
      <c r="VDT37" s="47"/>
      <c r="VDU37" s="47"/>
      <c r="VDV37" s="47"/>
      <c r="VDW37" s="47"/>
      <c r="VDX37" s="47"/>
      <c r="VDY37" s="47"/>
      <c r="VDZ37" s="47"/>
      <c r="VEA37" s="47"/>
      <c r="VEB37" s="47"/>
      <c r="VEC37" s="47"/>
      <c r="VED37" s="47"/>
      <c r="VEE37" s="47"/>
      <c r="VEF37" s="47"/>
      <c r="VEG37" s="47"/>
      <c r="VEH37" s="47"/>
      <c r="VEI37" s="47"/>
      <c r="VEJ37" s="47"/>
      <c r="VEK37" s="47"/>
      <c r="VEL37" s="47"/>
      <c r="VEM37" s="47"/>
      <c r="VEN37" s="47"/>
      <c r="VEO37" s="47"/>
      <c r="VEP37" s="47"/>
      <c r="VEQ37" s="47"/>
      <c r="VER37" s="47"/>
      <c r="VES37" s="47"/>
      <c r="VET37" s="47"/>
      <c r="VEU37" s="47"/>
      <c r="VEV37" s="47"/>
      <c r="VEW37" s="47"/>
      <c r="VEX37" s="47"/>
      <c r="VEY37" s="47"/>
      <c r="VEZ37" s="47"/>
      <c r="VFA37" s="47"/>
      <c r="VFB37" s="47"/>
      <c r="VFC37" s="47"/>
      <c r="VFD37" s="47"/>
      <c r="VFE37" s="47"/>
      <c r="VFF37" s="47"/>
      <c r="VFG37" s="47"/>
      <c r="VFH37" s="47"/>
      <c r="VFI37" s="47"/>
      <c r="VFJ37" s="47"/>
      <c r="VFK37" s="47"/>
      <c r="VFL37" s="47"/>
      <c r="VFM37" s="47"/>
      <c r="VFN37" s="47"/>
      <c r="VFO37" s="47"/>
      <c r="VFP37" s="47"/>
      <c r="VFQ37" s="47"/>
      <c r="VFR37" s="47"/>
      <c r="VFS37" s="47"/>
      <c r="VFT37" s="47"/>
      <c r="VFU37" s="47"/>
      <c r="VFV37" s="47"/>
      <c r="VFW37" s="47"/>
      <c r="VFX37" s="47"/>
      <c r="VFY37" s="47"/>
      <c r="VFZ37" s="47"/>
      <c r="VGA37" s="47"/>
      <c r="VGB37" s="47"/>
      <c r="VGC37" s="47"/>
      <c r="VGD37" s="47"/>
      <c r="VGE37" s="47"/>
      <c r="VGF37" s="47"/>
      <c r="VGG37" s="47"/>
      <c r="VGH37" s="47"/>
      <c r="VGI37" s="47"/>
      <c r="VGJ37" s="47"/>
      <c r="VGK37" s="47"/>
      <c r="VGL37" s="47"/>
      <c r="VGM37" s="47"/>
      <c r="VGN37" s="47"/>
      <c r="VGO37" s="47"/>
      <c r="VGP37" s="47"/>
      <c r="VGQ37" s="47"/>
      <c r="VGR37" s="47"/>
      <c r="VGS37" s="47"/>
      <c r="VGT37" s="47"/>
      <c r="VGU37" s="47"/>
      <c r="VGV37" s="47"/>
      <c r="VGW37" s="47"/>
      <c r="VGX37" s="47"/>
      <c r="VGY37" s="47"/>
      <c r="VGZ37" s="47"/>
      <c r="VHA37" s="47"/>
      <c r="VHB37" s="47"/>
      <c r="VHC37" s="47"/>
      <c r="VHD37" s="47"/>
      <c r="VHE37" s="47"/>
      <c r="VHF37" s="47"/>
      <c r="VHG37" s="47"/>
      <c r="VHH37" s="47"/>
      <c r="VHI37" s="47"/>
      <c r="VHJ37" s="47"/>
      <c r="VHK37" s="47"/>
      <c r="VHL37" s="47"/>
      <c r="VHM37" s="47"/>
      <c r="VHN37" s="47"/>
      <c r="VHO37" s="47"/>
      <c r="VHP37" s="47"/>
      <c r="VHQ37" s="47"/>
      <c r="VHR37" s="47"/>
      <c r="VHS37" s="47"/>
      <c r="VHT37" s="47"/>
      <c r="VHU37" s="47"/>
      <c r="VHV37" s="47"/>
      <c r="VHW37" s="47"/>
      <c r="VHX37" s="47"/>
      <c r="VHY37" s="47"/>
      <c r="VHZ37" s="47"/>
      <c r="VIA37" s="47"/>
      <c r="VIB37" s="47"/>
      <c r="VIC37" s="47"/>
      <c r="VID37" s="47"/>
      <c r="VIE37" s="47"/>
      <c r="VIF37" s="47"/>
      <c r="VIG37" s="47"/>
      <c r="VIH37" s="47"/>
      <c r="VII37" s="47"/>
      <c r="VIJ37" s="47"/>
      <c r="VIK37" s="47"/>
      <c r="VIL37" s="47"/>
      <c r="VIM37" s="47"/>
      <c r="VIN37" s="47"/>
      <c r="VIO37" s="47"/>
      <c r="VIP37" s="47"/>
      <c r="VIQ37" s="47"/>
      <c r="VIR37" s="47"/>
      <c r="VIS37" s="47"/>
      <c r="VIT37" s="47"/>
      <c r="VIU37" s="47"/>
      <c r="VIV37" s="47"/>
      <c r="VIW37" s="47"/>
      <c r="VIX37" s="47"/>
      <c r="VIY37" s="47"/>
      <c r="VIZ37" s="47"/>
      <c r="VJA37" s="47"/>
      <c r="VJB37" s="47"/>
      <c r="VJC37" s="47"/>
      <c r="VJD37" s="47"/>
      <c r="VJE37" s="47"/>
      <c r="VJF37" s="47"/>
      <c r="VJG37" s="47"/>
      <c r="VJH37" s="47"/>
      <c r="VJI37" s="47"/>
      <c r="VJJ37" s="47"/>
      <c r="VJK37" s="47"/>
      <c r="VJL37" s="47"/>
      <c r="VJM37" s="47"/>
      <c r="VJN37" s="47"/>
      <c r="VJO37" s="47"/>
      <c r="VJP37" s="47"/>
      <c r="VJQ37" s="47"/>
      <c r="VJR37" s="47"/>
      <c r="VJS37" s="47"/>
      <c r="VJT37" s="47"/>
      <c r="VJU37" s="47"/>
      <c r="VJV37" s="47"/>
      <c r="VJW37" s="47"/>
      <c r="VJX37" s="47"/>
      <c r="VJY37" s="47"/>
      <c r="VJZ37" s="47"/>
      <c r="VKA37" s="47"/>
      <c r="VKB37" s="47"/>
      <c r="VKC37" s="47"/>
      <c r="VKD37" s="47"/>
      <c r="VKE37" s="47"/>
      <c r="VKF37" s="47"/>
      <c r="VKG37" s="47"/>
      <c r="VKH37" s="47"/>
      <c r="VKI37" s="47"/>
      <c r="VKJ37" s="47"/>
      <c r="VKK37" s="47"/>
      <c r="VKL37" s="47"/>
      <c r="VKM37" s="47"/>
      <c r="VKN37" s="47"/>
      <c r="VKO37" s="47"/>
      <c r="VKP37" s="47"/>
      <c r="VKQ37" s="47"/>
      <c r="VKR37" s="47"/>
      <c r="VKS37" s="47"/>
      <c r="VKT37" s="47"/>
      <c r="VKU37" s="47"/>
      <c r="VKV37" s="47"/>
      <c r="VKW37" s="47"/>
      <c r="VKX37" s="47"/>
      <c r="VKY37" s="47"/>
      <c r="VKZ37" s="47"/>
      <c r="VLA37" s="47"/>
      <c r="VLB37" s="47"/>
      <c r="VLC37" s="47"/>
      <c r="VLD37" s="47"/>
      <c r="VLE37" s="47"/>
      <c r="VLF37" s="47"/>
      <c r="VLG37" s="47"/>
      <c r="VLH37" s="47"/>
      <c r="VLI37" s="47"/>
      <c r="VLJ37" s="47"/>
      <c r="VLK37" s="47"/>
      <c r="VLL37" s="47"/>
      <c r="VLM37" s="47"/>
      <c r="VLN37" s="47"/>
      <c r="VLO37" s="47"/>
      <c r="VLP37" s="47"/>
      <c r="VLQ37" s="47"/>
      <c r="VLR37" s="47"/>
      <c r="VLS37" s="47"/>
      <c r="VLT37" s="47"/>
      <c r="VLU37" s="47"/>
      <c r="VLV37" s="47"/>
      <c r="VLW37" s="47"/>
      <c r="VLX37" s="47"/>
      <c r="VLY37" s="47"/>
      <c r="VLZ37" s="47"/>
      <c r="VMA37" s="47"/>
      <c r="VMB37" s="47"/>
      <c r="VMC37" s="47"/>
      <c r="VMD37" s="47"/>
      <c r="VME37" s="47"/>
      <c r="VMF37" s="47"/>
      <c r="VMG37" s="47"/>
      <c r="VMH37" s="47"/>
      <c r="VMI37" s="47"/>
      <c r="VMJ37" s="47"/>
      <c r="VMK37" s="47"/>
      <c r="VML37" s="47"/>
      <c r="VMM37" s="47"/>
      <c r="VMN37" s="47"/>
      <c r="VMO37" s="47"/>
      <c r="VMP37" s="47"/>
      <c r="VMQ37" s="47"/>
      <c r="VMR37" s="47"/>
      <c r="VMS37" s="47"/>
      <c r="VMT37" s="47"/>
      <c r="VMU37" s="47"/>
      <c r="VMV37" s="47"/>
      <c r="VMW37" s="47"/>
      <c r="VMX37" s="47"/>
      <c r="VMY37" s="47"/>
      <c r="VMZ37" s="47"/>
      <c r="VNA37" s="47"/>
      <c r="VNB37" s="47"/>
      <c r="VNC37" s="47"/>
      <c r="VND37" s="47"/>
      <c r="VNE37" s="47"/>
      <c r="VNF37" s="47"/>
      <c r="VNG37" s="47"/>
      <c r="VNH37" s="47"/>
      <c r="VNI37" s="47"/>
      <c r="VNJ37" s="47"/>
      <c r="VNK37" s="47"/>
      <c r="VNL37" s="47"/>
      <c r="VNM37" s="47"/>
      <c r="VNN37" s="47"/>
      <c r="VNO37" s="47"/>
      <c r="VNP37" s="47"/>
      <c r="VNQ37" s="47"/>
      <c r="VNR37" s="47"/>
      <c r="VNS37" s="47"/>
      <c r="VNT37" s="47"/>
      <c r="VNU37" s="47"/>
      <c r="VNV37" s="47"/>
      <c r="VNW37" s="47"/>
      <c r="VNX37" s="47"/>
      <c r="VNY37" s="47"/>
      <c r="VNZ37" s="47"/>
      <c r="VOA37" s="47"/>
      <c r="VOB37" s="47"/>
      <c r="VOC37" s="47"/>
      <c r="VOD37" s="47"/>
      <c r="VOE37" s="47"/>
      <c r="VOF37" s="47"/>
      <c r="VOG37" s="47"/>
      <c r="VOH37" s="47"/>
      <c r="VOI37" s="47"/>
      <c r="VOJ37" s="47"/>
      <c r="VOK37" s="47"/>
      <c r="VOL37" s="47"/>
      <c r="VOM37" s="47"/>
      <c r="VON37" s="47"/>
      <c r="VOO37" s="47"/>
      <c r="VOP37" s="47"/>
      <c r="VOQ37" s="47"/>
      <c r="VOR37" s="47"/>
      <c r="VOS37" s="47"/>
      <c r="VOT37" s="47"/>
      <c r="VOU37" s="47"/>
      <c r="VOV37" s="47"/>
      <c r="VOW37" s="47"/>
      <c r="VOX37" s="47"/>
      <c r="VOY37" s="47"/>
      <c r="VOZ37" s="47"/>
      <c r="VPA37" s="47"/>
      <c r="VPB37" s="47"/>
      <c r="VPC37" s="47"/>
      <c r="VPD37" s="47"/>
      <c r="VPE37" s="47"/>
      <c r="VPF37" s="47"/>
      <c r="VPG37" s="47"/>
      <c r="VPH37" s="47"/>
      <c r="VPI37" s="47"/>
      <c r="VPJ37" s="47"/>
      <c r="VPK37" s="47"/>
      <c r="VPL37" s="47"/>
      <c r="VPM37" s="47"/>
      <c r="VPN37" s="47"/>
      <c r="VPO37" s="47"/>
      <c r="VPP37" s="47"/>
      <c r="VPQ37" s="47"/>
      <c r="VPR37" s="47"/>
      <c r="VPS37" s="47"/>
      <c r="VPT37" s="47"/>
      <c r="VPU37" s="47"/>
      <c r="VPV37" s="47"/>
      <c r="VPW37" s="47"/>
      <c r="VPX37" s="47"/>
      <c r="VPY37" s="47"/>
      <c r="VPZ37" s="47"/>
      <c r="VQA37" s="47"/>
      <c r="VQB37" s="47"/>
      <c r="VQC37" s="47"/>
      <c r="VQD37" s="47"/>
      <c r="VQE37" s="47"/>
      <c r="VQF37" s="47"/>
      <c r="VQG37" s="47"/>
      <c r="VQH37" s="47"/>
      <c r="VQI37" s="47"/>
      <c r="VQJ37" s="47"/>
      <c r="VQK37" s="47"/>
      <c r="VQL37" s="47"/>
      <c r="VQM37" s="47"/>
      <c r="VQN37" s="47"/>
      <c r="VQO37" s="47"/>
      <c r="VQP37" s="47"/>
      <c r="VQQ37" s="47"/>
      <c r="VQR37" s="47"/>
      <c r="VQS37" s="47"/>
      <c r="VQT37" s="47"/>
      <c r="VQU37" s="47"/>
      <c r="VQV37" s="47"/>
      <c r="VQW37" s="47"/>
      <c r="VQX37" s="47"/>
      <c r="VQY37" s="47"/>
      <c r="VQZ37" s="47"/>
      <c r="VRA37" s="47"/>
      <c r="VRB37" s="47"/>
      <c r="VRC37" s="47"/>
      <c r="VRD37" s="47"/>
      <c r="VRE37" s="47"/>
      <c r="VRF37" s="47"/>
      <c r="VRG37" s="47"/>
      <c r="VRH37" s="47"/>
      <c r="VRI37" s="47"/>
      <c r="VRJ37" s="47"/>
      <c r="VRK37" s="47"/>
      <c r="VRL37" s="47"/>
      <c r="VRM37" s="47"/>
      <c r="VRN37" s="47"/>
      <c r="VRO37" s="47"/>
      <c r="VRP37" s="47"/>
      <c r="VRQ37" s="47"/>
      <c r="VRR37" s="47"/>
      <c r="VRS37" s="47"/>
      <c r="VRT37" s="47"/>
      <c r="VRU37" s="47"/>
      <c r="VRV37" s="47"/>
      <c r="VRW37" s="47"/>
      <c r="VRX37" s="47"/>
      <c r="VRY37" s="47"/>
      <c r="VRZ37" s="47"/>
      <c r="VSA37" s="47"/>
      <c r="VSB37" s="47"/>
      <c r="VSC37" s="47"/>
      <c r="VSD37" s="47"/>
      <c r="VSE37" s="47"/>
      <c r="VSF37" s="47"/>
      <c r="VSG37" s="47"/>
      <c r="VSH37" s="47"/>
      <c r="VSI37" s="47"/>
      <c r="VSJ37" s="47"/>
      <c r="VSK37" s="47"/>
      <c r="VSL37" s="47"/>
      <c r="VSM37" s="47"/>
      <c r="VSN37" s="47"/>
      <c r="VSO37" s="47"/>
      <c r="VSP37" s="47"/>
      <c r="VSQ37" s="47"/>
      <c r="VSR37" s="47"/>
      <c r="VSS37" s="47"/>
      <c r="VST37" s="47"/>
      <c r="VSU37" s="47"/>
      <c r="VSV37" s="47"/>
      <c r="VSW37" s="47"/>
      <c r="VSX37" s="47"/>
      <c r="VSY37" s="47"/>
      <c r="VSZ37" s="47"/>
      <c r="VTA37" s="47"/>
      <c r="VTB37" s="47"/>
      <c r="VTC37" s="47"/>
      <c r="VTD37" s="47"/>
      <c r="VTE37" s="47"/>
      <c r="VTF37" s="47"/>
      <c r="VTG37" s="47"/>
      <c r="VTH37" s="47"/>
      <c r="VTI37" s="47"/>
      <c r="VTJ37" s="47"/>
      <c r="VTK37" s="47"/>
      <c r="VTL37" s="47"/>
      <c r="VTM37" s="47"/>
      <c r="VTN37" s="47"/>
      <c r="VTO37" s="47"/>
      <c r="VTP37" s="47"/>
      <c r="VTQ37" s="47"/>
      <c r="VTR37" s="47"/>
      <c r="VTS37" s="47"/>
      <c r="VTT37" s="47"/>
      <c r="VTU37" s="47"/>
      <c r="VTV37" s="47"/>
      <c r="VTW37" s="47"/>
      <c r="VTX37" s="47"/>
      <c r="VTY37" s="47"/>
      <c r="VTZ37" s="47"/>
      <c r="VUA37" s="47"/>
      <c r="VUB37" s="47"/>
      <c r="VUC37" s="47"/>
      <c r="VUD37" s="47"/>
      <c r="VUE37" s="47"/>
      <c r="VUF37" s="47"/>
      <c r="VUG37" s="47"/>
      <c r="VUH37" s="47"/>
      <c r="VUI37" s="47"/>
      <c r="VUJ37" s="47"/>
      <c r="VUK37" s="47"/>
      <c r="VUL37" s="47"/>
      <c r="VUM37" s="47"/>
      <c r="VUN37" s="47"/>
      <c r="VUO37" s="47"/>
      <c r="VUP37" s="47"/>
      <c r="VUQ37" s="47"/>
      <c r="VUR37" s="47"/>
      <c r="VUS37" s="47"/>
      <c r="VUT37" s="47"/>
      <c r="VUU37" s="47"/>
      <c r="VUV37" s="47"/>
      <c r="VUW37" s="47"/>
      <c r="VUX37" s="47"/>
      <c r="VUY37" s="47"/>
      <c r="VUZ37" s="47"/>
      <c r="VVA37" s="47"/>
      <c r="VVB37" s="47"/>
      <c r="VVC37" s="47"/>
      <c r="VVD37" s="47"/>
      <c r="VVE37" s="47"/>
      <c r="VVF37" s="47"/>
      <c r="VVG37" s="47"/>
      <c r="VVH37" s="47"/>
      <c r="VVI37" s="47"/>
      <c r="VVJ37" s="47"/>
      <c r="VVK37" s="47"/>
      <c r="VVL37" s="47"/>
      <c r="VVM37" s="47"/>
      <c r="VVN37" s="47"/>
      <c r="VVO37" s="47"/>
      <c r="VVP37" s="47"/>
      <c r="VVQ37" s="47"/>
      <c r="VVR37" s="47"/>
      <c r="VVS37" s="47"/>
      <c r="VVT37" s="47"/>
      <c r="VVU37" s="47"/>
      <c r="VVV37" s="47"/>
      <c r="VVW37" s="47"/>
      <c r="VVX37" s="47"/>
      <c r="VVY37" s="47"/>
      <c r="VVZ37" s="47"/>
      <c r="VWA37" s="47"/>
      <c r="VWB37" s="47"/>
      <c r="VWC37" s="47"/>
      <c r="VWD37" s="47"/>
      <c r="VWE37" s="47"/>
      <c r="VWF37" s="47"/>
      <c r="VWG37" s="47"/>
      <c r="VWH37" s="47"/>
      <c r="VWI37" s="47"/>
      <c r="VWJ37" s="47"/>
      <c r="VWK37" s="47"/>
      <c r="VWL37" s="47"/>
      <c r="VWM37" s="47"/>
      <c r="VWN37" s="47"/>
      <c r="VWO37" s="47"/>
      <c r="VWP37" s="47"/>
      <c r="VWQ37" s="47"/>
      <c r="VWR37" s="47"/>
      <c r="VWS37" s="47"/>
      <c r="VWT37" s="47"/>
      <c r="VWU37" s="47"/>
      <c r="VWV37" s="47"/>
      <c r="VWW37" s="47"/>
      <c r="VWX37" s="47"/>
      <c r="VWY37" s="47"/>
      <c r="VWZ37" s="47"/>
      <c r="VXA37" s="47"/>
      <c r="VXB37" s="47"/>
      <c r="VXC37" s="47"/>
      <c r="VXD37" s="47"/>
      <c r="VXE37" s="47"/>
      <c r="VXF37" s="47"/>
      <c r="VXG37" s="47"/>
      <c r="VXH37" s="47"/>
      <c r="VXI37" s="47"/>
      <c r="VXJ37" s="47"/>
      <c r="VXK37" s="47"/>
      <c r="VXL37" s="47"/>
      <c r="VXM37" s="47"/>
      <c r="VXN37" s="47"/>
      <c r="VXO37" s="47"/>
      <c r="VXP37" s="47"/>
      <c r="VXQ37" s="47"/>
      <c r="VXR37" s="47"/>
      <c r="VXS37" s="47"/>
      <c r="VXT37" s="47"/>
      <c r="VXU37" s="47"/>
      <c r="VXV37" s="47"/>
      <c r="VXW37" s="47"/>
      <c r="VXX37" s="47"/>
      <c r="VXY37" s="47"/>
      <c r="VXZ37" s="47"/>
      <c r="VYA37" s="47"/>
      <c r="VYB37" s="47"/>
      <c r="VYC37" s="47"/>
      <c r="VYD37" s="47"/>
      <c r="VYE37" s="47"/>
      <c r="VYF37" s="47"/>
      <c r="VYG37" s="47"/>
      <c r="VYH37" s="47"/>
      <c r="VYI37" s="47"/>
      <c r="VYJ37" s="47"/>
      <c r="VYK37" s="47"/>
      <c r="VYL37" s="47"/>
      <c r="VYM37" s="47"/>
      <c r="VYN37" s="47"/>
      <c r="VYO37" s="47"/>
      <c r="VYP37" s="47"/>
      <c r="VYQ37" s="47"/>
      <c r="VYR37" s="47"/>
      <c r="VYS37" s="47"/>
      <c r="VYT37" s="47"/>
      <c r="VYU37" s="47"/>
      <c r="VYV37" s="47"/>
      <c r="VYW37" s="47"/>
      <c r="VYX37" s="47"/>
      <c r="VYY37" s="47"/>
      <c r="VYZ37" s="47"/>
      <c r="VZA37" s="47"/>
      <c r="VZB37" s="47"/>
      <c r="VZC37" s="47"/>
      <c r="VZD37" s="47"/>
      <c r="VZE37" s="47"/>
      <c r="VZF37" s="47"/>
      <c r="VZG37" s="47"/>
      <c r="VZH37" s="47"/>
      <c r="VZI37" s="47"/>
      <c r="VZJ37" s="47"/>
      <c r="VZK37" s="47"/>
      <c r="VZL37" s="47"/>
      <c r="VZM37" s="47"/>
      <c r="VZN37" s="47"/>
      <c r="VZO37" s="47"/>
      <c r="VZP37" s="47"/>
      <c r="VZQ37" s="47"/>
      <c r="VZR37" s="47"/>
      <c r="VZS37" s="47"/>
      <c r="VZT37" s="47"/>
      <c r="VZU37" s="47"/>
      <c r="VZV37" s="47"/>
      <c r="VZW37" s="47"/>
      <c r="VZX37" s="47"/>
      <c r="VZY37" s="47"/>
      <c r="VZZ37" s="47"/>
      <c r="WAA37" s="47"/>
      <c r="WAB37" s="47"/>
      <c r="WAC37" s="47"/>
      <c r="WAD37" s="47"/>
      <c r="WAE37" s="47"/>
      <c r="WAF37" s="47"/>
      <c r="WAG37" s="47"/>
      <c r="WAH37" s="47"/>
      <c r="WAI37" s="47"/>
      <c r="WAJ37" s="47"/>
      <c r="WAK37" s="47"/>
      <c r="WAL37" s="47"/>
      <c r="WAM37" s="47"/>
      <c r="WAN37" s="47"/>
      <c r="WAO37" s="47"/>
      <c r="WAP37" s="47"/>
      <c r="WAQ37" s="47"/>
      <c r="WAR37" s="47"/>
      <c r="WAS37" s="47"/>
      <c r="WAT37" s="47"/>
      <c r="WAU37" s="47"/>
      <c r="WAV37" s="47"/>
      <c r="WAW37" s="47"/>
      <c r="WAX37" s="47"/>
      <c r="WAY37" s="47"/>
      <c r="WAZ37" s="47"/>
      <c r="WBA37" s="47"/>
      <c r="WBB37" s="47"/>
      <c r="WBC37" s="47"/>
      <c r="WBD37" s="47"/>
      <c r="WBE37" s="47"/>
      <c r="WBF37" s="47"/>
      <c r="WBG37" s="47"/>
      <c r="WBH37" s="47"/>
      <c r="WBI37" s="47"/>
      <c r="WBJ37" s="47"/>
      <c r="WBK37" s="47"/>
      <c r="WBL37" s="47"/>
      <c r="WBM37" s="47"/>
      <c r="WBN37" s="47"/>
      <c r="WBO37" s="47"/>
      <c r="WBP37" s="47"/>
      <c r="WBQ37" s="47"/>
      <c r="WBR37" s="47"/>
      <c r="WBS37" s="47"/>
      <c r="WBT37" s="47"/>
      <c r="WBU37" s="47"/>
      <c r="WBV37" s="47"/>
      <c r="WBW37" s="47"/>
      <c r="WBX37" s="47"/>
      <c r="WBY37" s="47"/>
      <c r="WBZ37" s="47"/>
      <c r="WCA37" s="47"/>
      <c r="WCB37" s="47"/>
      <c r="WCC37" s="47"/>
      <c r="WCD37" s="47"/>
      <c r="WCE37" s="47"/>
      <c r="WCF37" s="47"/>
      <c r="WCG37" s="47"/>
      <c r="WCH37" s="47"/>
      <c r="WCI37" s="47"/>
      <c r="WCJ37" s="47"/>
      <c r="WCK37" s="47"/>
      <c r="WCL37" s="47"/>
      <c r="WCM37" s="47"/>
      <c r="WCN37" s="47"/>
      <c r="WCO37" s="47"/>
      <c r="WCP37" s="47"/>
      <c r="WCQ37" s="47"/>
      <c r="WCR37" s="47"/>
      <c r="WCS37" s="47"/>
      <c r="WCT37" s="47"/>
      <c r="WCU37" s="47"/>
      <c r="WCV37" s="47"/>
      <c r="WCW37" s="47"/>
      <c r="WCX37" s="47"/>
      <c r="WCY37" s="47"/>
      <c r="WCZ37" s="47"/>
      <c r="WDA37" s="47"/>
      <c r="WDB37" s="47"/>
      <c r="WDC37" s="47"/>
      <c r="WDD37" s="47"/>
      <c r="WDE37" s="47"/>
      <c r="WDF37" s="47"/>
      <c r="WDG37" s="47"/>
      <c r="WDH37" s="47"/>
      <c r="WDI37" s="47"/>
      <c r="WDJ37" s="47"/>
      <c r="WDK37" s="47"/>
      <c r="WDL37" s="47"/>
      <c r="WDM37" s="47"/>
      <c r="WDN37" s="47"/>
      <c r="WDO37" s="47"/>
      <c r="WDP37" s="47"/>
      <c r="WDQ37" s="47"/>
      <c r="WDR37" s="47"/>
      <c r="WDS37" s="47"/>
      <c r="WDT37" s="47"/>
      <c r="WDU37" s="47"/>
      <c r="WDV37" s="47"/>
      <c r="WDW37" s="47"/>
      <c r="WDX37" s="47"/>
      <c r="WDY37" s="47"/>
      <c r="WDZ37" s="47"/>
      <c r="WEA37" s="47"/>
      <c r="WEB37" s="47"/>
      <c r="WEC37" s="47"/>
      <c r="WED37" s="47"/>
      <c r="WEE37" s="47"/>
      <c r="WEF37" s="47"/>
      <c r="WEG37" s="47"/>
      <c r="WEH37" s="47"/>
      <c r="WEI37" s="47"/>
      <c r="WEJ37" s="47"/>
      <c r="WEK37" s="47"/>
      <c r="WEL37" s="47"/>
      <c r="WEM37" s="47"/>
      <c r="WEN37" s="47"/>
      <c r="WEO37" s="47"/>
      <c r="WEP37" s="47"/>
      <c r="WEQ37" s="47"/>
      <c r="WER37" s="47"/>
      <c r="WES37" s="47"/>
      <c r="WET37" s="47"/>
      <c r="WEU37" s="47"/>
      <c r="WEV37" s="47"/>
      <c r="WEW37" s="47"/>
      <c r="WEX37" s="47"/>
      <c r="WEY37" s="47"/>
      <c r="WEZ37" s="47"/>
      <c r="WFA37" s="47"/>
      <c r="WFB37" s="47"/>
      <c r="WFC37" s="47"/>
      <c r="WFD37" s="47"/>
      <c r="WFE37" s="47"/>
      <c r="WFF37" s="47"/>
      <c r="WFG37" s="47"/>
      <c r="WFH37" s="47"/>
      <c r="WFI37" s="47"/>
      <c r="WFJ37" s="47"/>
      <c r="WFK37" s="47"/>
      <c r="WFL37" s="47"/>
      <c r="WFM37" s="47"/>
      <c r="WFN37" s="47"/>
      <c r="WFO37" s="47"/>
      <c r="WFP37" s="47"/>
      <c r="WFQ37" s="47"/>
      <c r="WFR37" s="47"/>
      <c r="WFS37" s="47"/>
      <c r="WFT37" s="47"/>
      <c r="WFU37" s="47"/>
      <c r="WFV37" s="47"/>
      <c r="WFW37" s="47"/>
      <c r="WFX37" s="47"/>
      <c r="WFY37" s="47"/>
      <c r="WFZ37" s="47"/>
      <c r="WGA37" s="47"/>
      <c r="WGB37" s="47"/>
      <c r="WGC37" s="47"/>
      <c r="WGD37" s="47"/>
      <c r="WGE37" s="47"/>
      <c r="WGF37" s="47"/>
      <c r="WGG37" s="47"/>
      <c r="WGH37" s="47"/>
      <c r="WGI37" s="47"/>
      <c r="WGJ37" s="47"/>
      <c r="WGK37" s="47"/>
      <c r="WGL37" s="47"/>
      <c r="WGM37" s="47"/>
      <c r="WGN37" s="47"/>
      <c r="WGO37" s="47"/>
      <c r="WGP37" s="47"/>
      <c r="WGQ37" s="47"/>
      <c r="WGR37" s="47"/>
      <c r="WGS37" s="47"/>
      <c r="WGT37" s="47"/>
      <c r="WGU37" s="47"/>
      <c r="WGV37" s="47"/>
      <c r="WGW37" s="47"/>
      <c r="WGX37" s="47"/>
      <c r="WGY37" s="47"/>
      <c r="WGZ37" s="47"/>
      <c r="WHA37" s="47"/>
      <c r="WHB37" s="47"/>
      <c r="WHC37" s="47"/>
      <c r="WHD37" s="47"/>
      <c r="WHE37" s="47"/>
      <c r="WHF37" s="47"/>
      <c r="WHG37" s="47"/>
      <c r="WHH37" s="47"/>
      <c r="WHI37" s="47"/>
      <c r="WHJ37" s="47"/>
      <c r="WHK37" s="47"/>
      <c r="WHL37" s="47"/>
      <c r="WHM37" s="47"/>
      <c r="WHN37" s="47"/>
      <c r="WHO37" s="47"/>
      <c r="WHP37" s="47"/>
      <c r="WHQ37" s="47"/>
      <c r="WHR37" s="47"/>
      <c r="WHS37" s="47"/>
      <c r="WHT37" s="47"/>
      <c r="WHU37" s="47"/>
      <c r="WHV37" s="47"/>
      <c r="WHW37" s="47"/>
      <c r="WHX37" s="47"/>
      <c r="WHY37" s="47"/>
      <c r="WHZ37" s="47"/>
      <c r="WIA37" s="47"/>
      <c r="WIB37" s="47"/>
      <c r="WIC37" s="47"/>
      <c r="WID37" s="47"/>
      <c r="WIE37" s="47"/>
      <c r="WIF37" s="47"/>
      <c r="WIG37" s="47"/>
      <c r="WIH37" s="47"/>
      <c r="WII37" s="47"/>
      <c r="WIJ37" s="47"/>
      <c r="WIK37" s="47"/>
      <c r="WIL37" s="47"/>
      <c r="WIM37" s="47"/>
      <c r="WIN37" s="47"/>
      <c r="WIO37" s="47"/>
      <c r="WIP37" s="47"/>
      <c r="WIQ37" s="47"/>
      <c r="WIR37" s="47"/>
      <c r="WIS37" s="47"/>
      <c r="WIT37" s="47"/>
      <c r="WIU37" s="47"/>
      <c r="WIV37" s="47"/>
      <c r="WIW37" s="47"/>
      <c r="WIX37" s="47"/>
      <c r="WIY37" s="47"/>
      <c r="WIZ37" s="47"/>
      <c r="WJA37" s="47"/>
      <c r="WJB37" s="47"/>
      <c r="WJC37" s="47"/>
      <c r="WJD37" s="47"/>
      <c r="WJE37" s="47"/>
      <c r="WJF37" s="47"/>
      <c r="WJG37" s="47"/>
      <c r="WJH37" s="47"/>
      <c r="WJI37" s="47"/>
      <c r="WJJ37" s="47"/>
      <c r="WJK37" s="47"/>
      <c r="WJL37" s="47"/>
      <c r="WJM37" s="47"/>
      <c r="WJN37" s="47"/>
      <c r="WJO37" s="47"/>
      <c r="WJP37" s="47"/>
      <c r="WJQ37" s="47"/>
      <c r="WJR37" s="47"/>
      <c r="WJS37" s="47"/>
      <c r="WJT37" s="47"/>
      <c r="WJU37" s="47"/>
      <c r="WJV37" s="47"/>
      <c r="WJW37" s="47"/>
      <c r="WJX37" s="47"/>
      <c r="WJY37" s="47"/>
      <c r="WJZ37" s="47"/>
      <c r="WKA37" s="47"/>
      <c r="WKB37" s="47"/>
      <c r="WKC37" s="47"/>
      <c r="WKD37" s="47"/>
      <c r="WKE37" s="47"/>
      <c r="WKF37" s="47"/>
      <c r="WKG37" s="47"/>
      <c r="WKH37" s="47"/>
      <c r="WKI37" s="47"/>
      <c r="WKJ37" s="47"/>
      <c r="WKK37" s="47"/>
      <c r="WKL37" s="47"/>
      <c r="WKM37" s="47"/>
      <c r="WKN37" s="47"/>
      <c r="WKO37" s="47"/>
      <c r="WKP37" s="47"/>
      <c r="WKQ37" s="47"/>
      <c r="WKR37" s="47"/>
      <c r="WKS37" s="47"/>
      <c r="WKT37" s="47"/>
      <c r="WKU37" s="47"/>
      <c r="WKV37" s="47"/>
      <c r="WKW37" s="47"/>
      <c r="WKX37" s="47"/>
      <c r="WKY37" s="47"/>
      <c r="WKZ37" s="47"/>
      <c r="WLA37" s="47"/>
      <c r="WLB37" s="47"/>
      <c r="WLC37" s="47"/>
      <c r="WLD37" s="47"/>
      <c r="WLE37" s="47"/>
      <c r="WLF37" s="47"/>
      <c r="WLG37" s="47"/>
      <c r="WLH37" s="47"/>
      <c r="WLI37" s="47"/>
      <c r="WLJ37" s="47"/>
      <c r="WLK37" s="47"/>
      <c r="WLL37" s="47"/>
      <c r="WLM37" s="47"/>
      <c r="WLN37" s="47"/>
      <c r="WLO37" s="47"/>
      <c r="WLP37" s="47"/>
      <c r="WLQ37" s="47"/>
      <c r="WLR37" s="47"/>
      <c r="WLS37" s="47"/>
      <c r="WLT37" s="47"/>
      <c r="WLU37" s="47"/>
      <c r="WLV37" s="47"/>
      <c r="WLW37" s="47"/>
      <c r="WLX37" s="47"/>
      <c r="WLY37" s="47"/>
      <c r="WLZ37" s="47"/>
      <c r="WMA37" s="47"/>
      <c r="WMB37" s="47"/>
      <c r="WMC37" s="47"/>
      <c r="WMD37" s="47"/>
      <c r="WME37" s="47"/>
      <c r="WMF37" s="47"/>
      <c r="WMG37" s="47"/>
      <c r="WMH37" s="47"/>
      <c r="WMI37" s="47"/>
      <c r="WMJ37" s="47"/>
      <c r="WMK37" s="47"/>
      <c r="WML37" s="47"/>
      <c r="WMM37" s="47"/>
      <c r="WMN37" s="47"/>
      <c r="WMO37" s="47"/>
      <c r="WMP37" s="47"/>
      <c r="WMQ37" s="47"/>
      <c r="WMR37" s="47"/>
      <c r="WMS37" s="47"/>
      <c r="WMT37" s="47"/>
      <c r="WMU37" s="47"/>
      <c r="WMV37" s="47"/>
      <c r="WMW37" s="47"/>
      <c r="WMX37" s="47"/>
      <c r="WMY37" s="47"/>
      <c r="WMZ37" s="47"/>
      <c r="WNA37" s="47"/>
      <c r="WNB37" s="47"/>
      <c r="WNC37" s="47"/>
      <c r="WND37" s="47"/>
      <c r="WNE37" s="47"/>
      <c r="WNF37" s="47"/>
      <c r="WNG37" s="47"/>
      <c r="WNH37" s="47"/>
      <c r="WNI37" s="47"/>
      <c r="WNJ37" s="47"/>
      <c r="WNK37" s="47"/>
      <c r="WNL37" s="47"/>
      <c r="WNM37" s="47"/>
      <c r="WNN37" s="47"/>
      <c r="WNO37" s="47"/>
      <c r="WNP37" s="47"/>
      <c r="WNQ37" s="47"/>
      <c r="WNR37" s="47"/>
      <c r="WNS37" s="47"/>
      <c r="WNT37" s="47"/>
      <c r="WNU37" s="47"/>
      <c r="WNV37" s="47"/>
      <c r="WNW37" s="47"/>
      <c r="WNX37" s="47"/>
      <c r="WNY37" s="47"/>
      <c r="WNZ37" s="47"/>
      <c r="WOA37" s="47"/>
      <c r="WOB37" s="47"/>
      <c r="WOC37" s="47"/>
      <c r="WOD37" s="47"/>
      <c r="WOE37" s="47"/>
      <c r="WOF37" s="47"/>
      <c r="WOG37" s="47"/>
      <c r="WOH37" s="47"/>
      <c r="WOI37" s="47"/>
      <c r="WOJ37" s="47"/>
      <c r="WOK37" s="47"/>
      <c r="WOL37" s="47"/>
      <c r="WOM37" s="47"/>
      <c r="WON37" s="47"/>
      <c r="WOO37" s="47"/>
      <c r="WOP37" s="47"/>
      <c r="WOQ37" s="47"/>
      <c r="WOR37" s="47"/>
      <c r="WOS37" s="47"/>
      <c r="WOT37" s="47"/>
      <c r="WOU37" s="47"/>
      <c r="WOV37" s="47"/>
      <c r="WOW37" s="47"/>
      <c r="WOX37" s="47"/>
      <c r="WOY37" s="47"/>
      <c r="WOZ37" s="47"/>
      <c r="WPA37" s="47"/>
      <c r="WPB37" s="47"/>
      <c r="WPC37" s="47"/>
      <c r="WPD37" s="47"/>
      <c r="WPE37" s="47"/>
      <c r="WPF37" s="47"/>
      <c r="WPG37" s="47"/>
      <c r="WPH37" s="47"/>
      <c r="WPI37" s="47"/>
      <c r="WPJ37" s="47"/>
      <c r="WPK37" s="47"/>
      <c r="WPL37" s="47"/>
      <c r="WPM37" s="47"/>
      <c r="WPN37" s="47"/>
      <c r="WPO37" s="47"/>
      <c r="WPP37" s="47"/>
      <c r="WPQ37" s="47"/>
      <c r="WPR37" s="47"/>
      <c r="WPS37" s="47"/>
      <c r="WPT37" s="47"/>
      <c r="WPU37" s="47"/>
      <c r="WPV37" s="47"/>
      <c r="WPW37" s="47"/>
      <c r="WPX37" s="47"/>
      <c r="WPY37" s="47"/>
      <c r="WPZ37" s="47"/>
      <c r="WQA37" s="47"/>
      <c r="WQB37" s="47"/>
      <c r="WQC37" s="47"/>
      <c r="WQD37" s="47"/>
      <c r="WQE37" s="47"/>
      <c r="WQF37" s="47"/>
      <c r="WQG37" s="47"/>
      <c r="WQH37" s="47"/>
      <c r="WQI37" s="47"/>
      <c r="WQJ37" s="47"/>
      <c r="WQK37" s="47"/>
      <c r="WQL37" s="47"/>
      <c r="WQM37" s="47"/>
      <c r="WQN37" s="47"/>
      <c r="WQO37" s="47"/>
      <c r="WQP37" s="47"/>
      <c r="WQQ37" s="47"/>
      <c r="WQR37" s="47"/>
      <c r="WQS37" s="47"/>
      <c r="WQT37" s="47"/>
      <c r="WQU37" s="47"/>
      <c r="WQV37" s="47"/>
      <c r="WQW37" s="47"/>
      <c r="WQX37" s="47"/>
      <c r="WQY37" s="47"/>
      <c r="WQZ37" s="47"/>
      <c r="WRA37" s="47"/>
      <c r="WRB37" s="47"/>
      <c r="WRC37" s="47"/>
      <c r="WRD37" s="47"/>
      <c r="WRE37" s="47"/>
      <c r="WRF37" s="47"/>
      <c r="WRG37" s="47"/>
      <c r="WRH37" s="47"/>
      <c r="WRI37" s="47"/>
      <c r="WRJ37" s="47"/>
      <c r="WRK37" s="47"/>
      <c r="WRL37" s="47"/>
      <c r="WRM37" s="47"/>
      <c r="WRN37" s="47"/>
      <c r="WRO37" s="47"/>
      <c r="WRP37" s="47"/>
      <c r="WRQ37" s="47"/>
      <c r="WRR37" s="47"/>
      <c r="WRS37" s="47"/>
      <c r="WRT37" s="47"/>
      <c r="WRU37" s="47"/>
      <c r="WRV37" s="47"/>
      <c r="WRW37" s="47"/>
      <c r="WRX37" s="47"/>
      <c r="WRY37" s="47"/>
      <c r="WRZ37" s="47"/>
      <c r="WSA37" s="47"/>
      <c r="WSB37" s="47"/>
      <c r="WSC37" s="47"/>
      <c r="WSD37" s="47"/>
      <c r="WSE37" s="47"/>
      <c r="WSF37" s="47"/>
      <c r="WSG37" s="47"/>
      <c r="WSH37" s="47"/>
      <c r="WSI37" s="47"/>
      <c r="WSJ37" s="47"/>
      <c r="WSK37" s="47"/>
      <c r="WSL37" s="47"/>
      <c r="WSM37" s="47"/>
      <c r="WSN37" s="47"/>
      <c r="WSO37" s="47"/>
      <c r="WSP37" s="47"/>
      <c r="WSQ37" s="47"/>
      <c r="WSR37" s="47"/>
      <c r="WSS37" s="47"/>
      <c r="WST37" s="47"/>
      <c r="WSU37" s="47"/>
      <c r="WSV37" s="47"/>
      <c r="WSW37" s="47"/>
      <c r="WSX37" s="47"/>
      <c r="WSY37" s="47"/>
      <c r="WSZ37" s="47"/>
      <c r="WTA37" s="47"/>
      <c r="WTB37" s="47"/>
      <c r="WTC37" s="47"/>
      <c r="WTD37" s="47"/>
      <c r="WTE37" s="47"/>
      <c r="WTF37" s="47"/>
      <c r="WTG37" s="47"/>
      <c r="WTH37" s="47"/>
      <c r="WTI37" s="47"/>
      <c r="WTJ37" s="47"/>
      <c r="WTK37" s="47"/>
      <c r="WTL37" s="47"/>
      <c r="WTM37" s="47"/>
      <c r="WTN37" s="47"/>
      <c r="WTO37" s="47"/>
      <c r="WTP37" s="47"/>
      <c r="WTQ37" s="47"/>
      <c r="WTR37" s="47"/>
      <c r="WTS37" s="47"/>
      <c r="WTT37" s="47"/>
      <c r="WTU37" s="47"/>
      <c r="WTV37" s="47"/>
      <c r="WTW37" s="47"/>
      <c r="WTX37" s="47"/>
      <c r="WTY37" s="47"/>
      <c r="WTZ37" s="47"/>
      <c r="WUA37" s="47"/>
      <c r="WUB37" s="47"/>
      <c r="WUC37" s="47"/>
      <c r="WUD37" s="47"/>
      <c r="WUE37" s="47"/>
      <c r="WUF37" s="47"/>
      <c r="WUG37" s="47"/>
      <c r="WUH37" s="47"/>
      <c r="WUI37" s="47"/>
      <c r="WUJ37" s="47"/>
      <c r="WUK37" s="47"/>
      <c r="WUL37" s="47"/>
      <c r="WUM37" s="47"/>
      <c r="WUN37" s="47"/>
      <c r="WUO37" s="47"/>
      <c r="WUP37" s="47"/>
      <c r="WUQ37" s="47"/>
      <c r="WUR37" s="47"/>
      <c r="WUS37" s="47"/>
      <c r="WUT37" s="47"/>
      <c r="WUU37" s="47"/>
      <c r="WUV37" s="47"/>
      <c r="WUW37" s="47"/>
      <c r="WUX37" s="47"/>
      <c r="WUY37" s="47"/>
      <c r="WUZ37" s="47"/>
      <c r="WVA37" s="47"/>
      <c r="WVB37" s="47"/>
      <c r="WVC37" s="47"/>
      <c r="WVD37" s="47"/>
      <c r="WVE37" s="47"/>
      <c r="WVF37" s="47"/>
      <c r="WVG37" s="47"/>
      <c r="WVH37" s="47"/>
      <c r="WVI37" s="47"/>
      <c r="WVJ37" s="47"/>
      <c r="WVK37" s="47"/>
      <c r="WVL37" s="47"/>
      <c r="WVM37" s="47"/>
      <c r="WVN37" s="47"/>
      <c r="WVO37" s="47"/>
      <c r="WVP37" s="47"/>
      <c r="WVQ37" s="47"/>
      <c r="WVR37" s="47"/>
      <c r="WVS37" s="47"/>
      <c r="WVT37" s="47"/>
      <c r="WVU37" s="47"/>
      <c r="WVV37" s="47"/>
      <c r="WVW37" s="47"/>
      <c r="WVX37" s="47"/>
      <c r="WVY37" s="47"/>
      <c r="WVZ37" s="47"/>
      <c r="WWA37" s="47"/>
      <c r="WWB37" s="47"/>
      <c r="WWC37" s="47"/>
      <c r="WWD37" s="47"/>
      <c r="WWE37" s="47"/>
      <c r="WWF37" s="47"/>
      <c r="WWG37" s="47"/>
      <c r="WWH37" s="47"/>
      <c r="WWI37" s="47"/>
      <c r="WWJ37" s="47"/>
      <c r="WWK37" s="47"/>
      <c r="WWL37" s="47"/>
      <c r="WWM37" s="47"/>
      <c r="WWN37" s="47"/>
      <c r="WWO37" s="47"/>
      <c r="WWP37" s="47"/>
      <c r="WWQ37" s="47"/>
      <c r="WWR37" s="47"/>
      <c r="WWS37" s="47"/>
      <c r="WWT37" s="47"/>
      <c r="WWU37" s="47"/>
      <c r="WWV37" s="47"/>
      <c r="WWW37" s="47"/>
      <c r="WWX37" s="47"/>
      <c r="WWY37" s="47"/>
      <c r="WWZ37" s="47"/>
      <c r="WXA37" s="47"/>
      <c r="WXB37" s="47"/>
      <c r="WXC37" s="47"/>
      <c r="WXD37" s="47"/>
      <c r="WXE37" s="47"/>
      <c r="WXF37" s="47"/>
      <c r="WXG37" s="47"/>
      <c r="WXH37" s="47"/>
      <c r="WXI37" s="47"/>
      <c r="WXJ37" s="47"/>
      <c r="WXK37" s="47"/>
      <c r="WXL37" s="47"/>
      <c r="WXM37" s="47"/>
      <c r="WXN37" s="47"/>
      <c r="WXO37" s="47"/>
      <c r="WXP37" s="47"/>
      <c r="WXQ37" s="47"/>
      <c r="WXR37" s="47"/>
      <c r="WXS37" s="47"/>
      <c r="WXT37" s="47"/>
      <c r="WXU37" s="47"/>
      <c r="WXV37" s="47"/>
      <c r="WXW37" s="47"/>
      <c r="WXX37" s="47"/>
      <c r="WXY37" s="47"/>
      <c r="WXZ37" s="47"/>
      <c r="WYA37" s="47"/>
      <c r="WYB37" s="47"/>
      <c r="WYC37" s="47"/>
      <c r="WYD37" s="47"/>
      <c r="WYE37" s="47"/>
      <c r="WYF37" s="47"/>
      <c r="WYG37" s="47"/>
      <c r="WYH37" s="47"/>
      <c r="WYI37" s="47"/>
      <c r="WYJ37" s="47"/>
      <c r="WYK37" s="47"/>
      <c r="WYL37" s="47"/>
      <c r="WYM37" s="47"/>
      <c r="WYN37" s="47"/>
      <c r="WYO37" s="47"/>
      <c r="WYP37" s="47"/>
      <c r="WYQ37" s="47"/>
      <c r="WYR37" s="47"/>
      <c r="WYS37" s="47"/>
      <c r="WYT37" s="47"/>
      <c r="WYU37" s="47"/>
      <c r="WYV37" s="47"/>
      <c r="WYW37" s="47"/>
      <c r="WYX37" s="47"/>
      <c r="WYY37" s="47"/>
      <c r="WYZ37" s="47"/>
      <c r="WZA37" s="47"/>
      <c r="WZB37" s="47"/>
      <c r="WZC37" s="47"/>
      <c r="WZD37" s="47"/>
      <c r="WZE37" s="47"/>
      <c r="WZF37" s="47"/>
      <c r="WZG37" s="47"/>
      <c r="WZH37" s="47"/>
      <c r="WZI37" s="47"/>
      <c r="WZJ37" s="47"/>
      <c r="WZK37" s="47"/>
      <c r="WZL37" s="47"/>
      <c r="WZM37" s="47"/>
      <c r="WZN37" s="47"/>
      <c r="WZO37" s="47"/>
      <c r="WZP37" s="47"/>
      <c r="WZQ37" s="47"/>
      <c r="WZR37" s="47"/>
      <c r="WZS37" s="47"/>
      <c r="WZT37" s="47"/>
      <c r="WZU37" s="47"/>
      <c r="WZV37" s="47"/>
      <c r="WZW37" s="47"/>
      <c r="WZX37" s="47"/>
      <c r="WZY37" s="47"/>
      <c r="WZZ37" s="47"/>
      <c r="XAA37" s="47"/>
      <c r="XAB37" s="47"/>
      <c r="XAC37" s="47"/>
      <c r="XAD37" s="47"/>
      <c r="XAE37" s="47"/>
      <c r="XAF37" s="47"/>
      <c r="XAG37" s="47"/>
      <c r="XAH37" s="47"/>
      <c r="XAI37" s="47"/>
      <c r="XAJ37" s="47"/>
      <c r="XAK37" s="47"/>
      <c r="XAL37" s="47"/>
      <c r="XAM37" s="47"/>
      <c r="XAN37" s="47"/>
      <c r="XAO37" s="47"/>
      <c r="XAP37" s="47"/>
      <c r="XAQ37" s="47"/>
      <c r="XAR37" s="47"/>
      <c r="XAS37" s="47"/>
      <c r="XAT37" s="47"/>
      <c r="XAU37" s="47"/>
      <c r="XAV37" s="47"/>
      <c r="XAW37" s="47"/>
      <c r="XAX37" s="47"/>
      <c r="XAY37" s="47"/>
      <c r="XAZ37" s="47"/>
      <c r="XBA37" s="47"/>
      <c r="XBB37" s="47"/>
      <c r="XBC37" s="47"/>
      <c r="XBD37" s="47"/>
      <c r="XBE37" s="47"/>
      <c r="XBF37" s="47"/>
      <c r="XBG37" s="47"/>
      <c r="XBH37" s="47"/>
      <c r="XBI37" s="47"/>
      <c r="XBJ37" s="47"/>
      <c r="XBK37" s="47"/>
      <c r="XBL37" s="47"/>
      <c r="XBM37" s="47"/>
      <c r="XBN37" s="47"/>
      <c r="XBO37" s="47"/>
      <c r="XBP37" s="47"/>
      <c r="XBQ37" s="47"/>
      <c r="XBR37" s="47"/>
      <c r="XBS37" s="47"/>
      <c r="XBT37" s="47"/>
      <c r="XBU37" s="47"/>
      <c r="XBV37" s="47"/>
      <c r="XBW37" s="47"/>
      <c r="XBX37" s="47"/>
      <c r="XBY37" s="47"/>
      <c r="XBZ37" s="47"/>
      <c r="XCA37" s="47"/>
      <c r="XCB37" s="47"/>
      <c r="XCC37" s="47"/>
      <c r="XCD37" s="47"/>
      <c r="XCE37" s="47"/>
      <c r="XCF37" s="47"/>
      <c r="XCG37" s="47"/>
      <c r="XCH37" s="47"/>
      <c r="XCI37" s="47"/>
      <c r="XCJ37" s="47"/>
      <c r="XCK37" s="47"/>
      <c r="XCL37" s="47"/>
      <c r="XCM37" s="47"/>
      <c r="XCN37" s="47"/>
      <c r="XCO37" s="47"/>
      <c r="XCP37" s="47"/>
      <c r="XCQ37" s="47"/>
      <c r="XCR37" s="47"/>
      <c r="XCS37" s="47"/>
      <c r="XCT37" s="47"/>
      <c r="XCU37" s="47"/>
      <c r="XCV37" s="47"/>
      <c r="XCW37" s="47"/>
      <c r="XCX37" s="47"/>
      <c r="XCY37" s="47"/>
      <c r="XCZ37" s="47"/>
      <c r="XDA37" s="47"/>
      <c r="XDB37" s="47"/>
      <c r="XDC37" s="47"/>
      <c r="XDD37" s="47"/>
      <c r="XDE37" s="47"/>
      <c r="XDF37" s="47"/>
      <c r="XDG37" s="47"/>
      <c r="XDH37" s="47"/>
      <c r="XDI37" s="47"/>
      <c r="XDJ37" s="47"/>
      <c r="XDK37" s="47"/>
      <c r="XDL37" s="47"/>
      <c r="XDM37" s="47"/>
      <c r="XDN37" s="47"/>
      <c r="XDO37" s="47"/>
      <c r="XDP37" s="47"/>
      <c r="XDQ37" s="47"/>
      <c r="XDR37" s="47"/>
      <c r="XDS37" s="47"/>
      <c r="XDT37" s="47"/>
      <c r="XDU37" s="47"/>
      <c r="XDV37" s="47"/>
      <c r="XDW37" s="47"/>
      <c r="XDX37" s="47"/>
      <c r="XDY37" s="47"/>
      <c r="XDZ37" s="47"/>
      <c r="XEA37" s="47"/>
      <c r="XEB37" s="47"/>
      <c r="XEC37" s="47"/>
      <c r="XED37" s="47"/>
      <c r="XEE37" s="47"/>
      <c r="XEF37" s="47"/>
      <c r="XEG37" s="47"/>
      <c r="XEH37" s="47"/>
      <c r="XEI37" s="47"/>
      <c r="XEJ37" s="47"/>
      <c r="XEK37" s="47"/>
      <c r="XEL37" s="47"/>
      <c r="XEM37" s="47"/>
      <c r="XEN37" s="47"/>
      <c r="XEO37" s="47"/>
      <c r="XEP37" s="47"/>
      <c r="XEQ37" s="47"/>
      <c r="XER37" s="47"/>
      <c r="XES37" s="47"/>
      <c r="XET37" s="47"/>
      <c r="XEU37" s="47"/>
      <c r="XEV37" s="47"/>
      <c r="XEW37" s="47"/>
      <c r="XEX37" s="47"/>
      <c r="XEY37" s="47"/>
      <c r="XEZ37" s="47"/>
      <c r="XFA37" s="47"/>
      <c r="XFB37" s="47"/>
      <c r="XFC37" s="47"/>
      <c r="XFD37" s="47"/>
    </row>
    <row r="38" spans="1:16384" x14ac:dyDescent="0.25">
      <c r="A38" s="47"/>
      <c r="B38" s="47"/>
      <c r="C38" s="47"/>
      <c r="D38" s="47"/>
      <c r="E38" s="47"/>
      <c r="F38" s="47"/>
      <c r="G38" s="47"/>
      <c r="H38" s="47"/>
      <c r="I38" s="47"/>
      <c r="J38" s="47"/>
      <c r="K38" s="47"/>
      <c r="L38" s="47"/>
      <c r="M38" s="47"/>
      <c r="N38" s="47"/>
    </row>
    <row r="39" spans="1:16384" x14ac:dyDescent="0.25">
      <c r="A39" s="47"/>
      <c r="B39" s="47"/>
      <c r="C39" s="47"/>
    </row>
    <row r="40" spans="1:16384" ht="23.25" x14ac:dyDescent="0.35">
      <c r="A40" s="47"/>
      <c r="B40" s="47"/>
      <c r="C40" s="56"/>
      <c r="D40" s="47"/>
      <c r="E40" s="1"/>
    </row>
  </sheetData>
  <mergeCells count="1">
    <mergeCell ref="M1:N1"/>
  </mergeCell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vt:i4>
      </vt:variant>
    </vt:vector>
  </HeadingPairs>
  <TitlesOfParts>
    <vt:vector size="59" baseType="lpstr">
      <vt:lpstr>Intro &amp; Explainer</vt:lpstr>
      <vt:lpstr>Profiles</vt:lpstr>
      <vt:lpstr>ServiceCat to Device Mapping</vt:lpstr>
      <vt:lpstr>Device Types</vt:lpstr>
      <vt:lpstr>Country Frequency Mappings(lic)</vt:lpstr>
      <vt:lpstr>IMEI TAC Database</vt:lpstr>
      <vt:lpstr>Slice template blueprint</vt:lpstr>
      <vt:lpstr>UltraLowCostConnectivity</vt:lpstr>
      <vt:lpstr>50MbpsSuburban</vt:lpstr>
      <vt:lpstr>50MbpsRural</vt:lpstr>
      <vt:lpstr>SmartWearables</vt:lpstr>
      <vt:lpstr>MobileVideoSurveillance</vt:lpstr>
      <vt:lpstr>AircraftConnectivity</vt:lpstr>
      <vt:lpstr>MovingHotSpots</vt:lpstr>
      <vt:lpstr>HighSpeedTrainConnectivity</vt:lpstr>
      <vt:lpstr>CollaborativeRobots</vt:lpstr>
      <vt:lpstr>PublicSafety</vt:lpstr>
      <vt:lpstr>SmartOffice</vt:lpstr>
      <vt:lpstr>SensorNetworks</vt:lpstr>
      <vt:lpstr>DenseUrbanSociety</vt:lpstr>
      <vt:lpstr>eHealthLifeCritical</vt:lpstr>
      <vt:lpstr>TactileInternet</vt:lpstr>
      <vt:lpstr>AutoTrafficControlDriving</vt:lpstr>
      <vt:lpstr>Pick lists</vt:lpstr>
      <vt:lpstr>'50MbpsRural'!_Toc4497292</vt:lpstr>
      <vt:lpstr>'50MbpsSuburban'!_Toc4497292</vt:lpstr>
      <vt:lpstr>AircraftConnectivity!_Toc4497292</vt:lpstr>
      <vt:lpstr>AutoTrafficControlDriving!_Toc4497292</vt:lpstr>
      <vt:lpstr>CollaborativeRobots!_Toc4497292</vt:lpstr>
      <vt:lpstr>DenseUrbanSociety!_Toc4497292</vt:lpstr>
      <vt:lpstr>eHealthLifeCritical!_Toc4497292</vt:lpstr>
      <vt:lpstr>HighSpeedTrainConnectivity!_Toc4497292</vt:lpstr>
      <vt:lpstr>MobileVideoSurveillance!_Toc4497292</vt:lpstr>
      <vt:lpstr>MovingHotSpots!_Toc4497292</vt:lpstr>
      <vt:lpstr>PublicSafety!_Toc4497292</vt:lpstr>
      <vt:lpstr>SensorNetworks!_Toc4497292</vt:lpstr>
      <vt:lpstr>'Slice template blueprint'!_Toc4497292</vt:lpstr>
      <vt:lpstr>SmartOffice!_Toc4497292</vt:lpstr>
      <vt:lpstr>SmartWearables!_Toc4497292</vt:lpstr>
      <vt:lpstr>TactileInternet!_Toc4497292</vt:lpstr>
      <vt:lpstr>UltraLowCostConnectivity!_Toc4497292</vt:lpstr>
      <vt:lpstr>'50MbpsRural'!_Toc4497322</vt:lpstr>
      <vt:lpstr>'50MbpsSuburban'!_Toc4497322</vt:lpstr>
      <vt:lpstr>AircraftConnectivity!_Toc4497322</vt:lpstr>
      <vt:lpstr>AutoTrafficControlDriving!_Toc4497322</vt:lpstr>
      <vt:lpstr>CollaborativeRobots!_Toc4497322</vt:lpstr>
      <vt:lpstr>DenseUrbanSociety!_Toc4497322</vt:lpstr>
      <vt:lpstr>eHealthLifeCritical!_Toc4497322</vt:lpstr>
      <vt:lpstr>HighSpeedTrainConnectivity!_Toc4497322</vt:lpstr>
      <vt:lpstr>MobileVideoSurveillance!_Toc4497322</vt:lpstr>
      <vt:lpstr>MovingHotSpots!_Toc4497322</vt:lpstr>
      <vt:lpstr>PublicSafety!_Toc4497322</vt:lpstr>
      <vt:lpstr>SensorNetworks!_Toc4497322</vt:lpstr>
      <vt:lpstr>'Slice template blueprint'!_Toc4497322</vt:lpstr>
      <vt:lpstr>SmartOffice!_Toc4497322</vt:lpstr>
      <vt:lpstr>SmartWearables!_Toc4497322</vt:lpstr>
      <vt:lpstr>TactileInternet!_Toc4497322</vt:lpstr>
      <vt:lpstr>UltraLowCostConnectivity!_Toc4497322</vt:lpstr>
      <vt:lpstr>ConnectivityPurpose</vt:lpstr>
    </vt:vector>
  </TitlesOfParts>
  <Company>Huawei Technologies Co.,Ltd.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O Sullivan</dc:creator>
  <cp:lastModifiedBy>Kevin McDonnell</cp:lastModifiedBy>
  <dcterms:created xsi:type="dcterms:W3CDTF">2019-04-09T14:25:57Z</dcterms:created>
  <dcterms:modified xsi:type="dcterms:W3CDTF">2019-06-12T09:46:07Z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readonly">
    <vt:lpwstr/>
  </property>
  <property fmtid="{D5CDD505-2E9C-101B-9397-08002B2CF9AE}" pid="3" name="_change">
    <vt:lpwstr/>
  </property>
  <property fmtid="{D5CDD505-2E9C-101B-9397-08002B2CF9AE}" pid="4" name="_full-control">
    <vt:lpwstr/>
  </property>
  <property fmtid="{D5CDD505-2E9C-101B-9397-08002B2CF9AE}" pid="5" name="sflag">
    <vt:lpwstr>1560331038</vt:lpwstr>
  </property>
</Properties>
</file>